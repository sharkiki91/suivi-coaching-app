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TRACKING" sheetId="2" r:id="rId6"/>
    <sheet state="visible" name="NUTRITION" sheetId="3" r:id="rId7"/>
    <sheet state="visible" name="COMPLEMENTS" sheetId="4" r:id="rId8"/>
    <sheet state="visible" name="TRAINING" sheetId="5" r:id="rId9"/>
    <sheet state="visible" name="DATABASETRAINING" sheetId="6" r:id="rId10"/>
    <sheet state="visible" name="DATABASECOMPLEMENTS" sheetId="7" r:id="rId11"/>
  </sheets>
  <definedNames/>
  <calcPr/>
</workbook>
</file>

<file path=xl/sharedStrings.xml><?xml version="1.0" encoding="utf-8"?>
<sst xmlns="http://schemas.openxmlformats.org/spreadsheetml/2006/main" count="935" uniqueCount="396">
  <si>
    <t>SEM</t>
  </si>
  <si>
    <t>DATE</t>
  </si>
  <si>
    <t>PHASE</t>
  </si>
  <si>
    <t>NUTRITION</t>
  </si>
  <si>
    <t>POIDS MOYEN</t>
  </si>
  <si>
    <t>DEPENSE</t>
  </si>
  <si>
    <t>RECOMMANDATIONS COMPLEMENTS</t>
  </si>
  <si>
    <t>COMPLEMENT</t>
  </si>
  <si>
    <t>PRECISION DEPENSE</t>
  </si>
  <si>
    <t>JOUR</t>
  </si>
  <si>
    <t>PRECISION TRAINING</t>
  </si>
  <si>
    <t>POIDS</t>
  </si>
  <si>
    <t>EVENEMENTS</t>
  </si>
  <si>
    <t>SOMMEIL</t>
  </si>
  <si>
    <t>NOTES</t>
  </si>
  <si>
    <t>QUALITE (1-5)</t>
  </si>
  <si>
    <t>COUCHER</t>
  </si>
  <si>
    <t>LEVER</t>
  </si>
  <si>
    <t>ENERGIE (1-5)</t>
  </si>
  <si>
    <t>ADHESION (1-5)</t>
  </si>
  <si>
    <t>NON TRACKE</t>
  </si>
  <si>
    <t>DIGESTION (1-5)</t>
  </si>
  <si>
    <t>TRAINING</t>
  </si>
  <si>
    <t>SEANCE</t>
  </si>
  <si>
    <t>NB PAS</t>
  </si>
  <si>
    <t>CARDIO</t>
  </si>
  <si>
    <t>MOTIVATION (1-5)</t>
  </si>
  <si>
    <t>SANTE</t>
  </si>
  <si>
    <t>RC REPOS</t>
  </si>
  <si>
    <t>Aliment</t>
  </si>
  <si>
    <t>PRESSION SYS</t>
  </si>
  <si>
    <t>PRESSION DIA</t>
  </si>
  <si>
    <t>PAS</t>
  </si>
  <si>
    <t>Quantité</t>
  </si>
  <si>
    <t>BILAN</t>
  </si>
  <si>
    <t>Kcal</t>
  </si>
  <si>
    <t>Protéines</t>
  </si>
  <si>
    <t>Glucides</t>
  </si>
  <si>
    <t>Lipides</t>
  </si>
  <si>
    <t>Fibres</t>
  </si>
  <si>
    <t>PLAN JOUR HAUT</t>
  </si>
  <si>
    <t>LUNDI</t>
  </si>
  <si>
    <t>TOTAL</t>
  </si>
  <si>
    <t>REPAS</t>
  </si>
  <si>
    <t>ALIMENTS</t>
  </si>
  <si>
    <t xml:space="preserve">QUANTITE </t>
  </si>
  <si>
    <t>DOSE</t>
  </si>
  <si>
    <t>MARDI</t>
  </si>
  <si>
    <t>TIMING</t>
  </si>
  <si>
    <t>NOTE</t>
  </si>
  <si>
    <t>LIEN</t>
  </si>
  <si>
    <t>KCAL</t>
  </si>
  <si>
    <t>PRO</t>
  </si>
  <si>
    <t>GLU</t>
  </si>
  <si>
    <t>LIP</t>
  </si>
  <si>
    <t>FIB</t>
  </si>
  <si>
    <t>TOTAUX</t>
  </si>
  <si>
    <t>MERCREDI</t>
  </si>
  <si>
    <t>JEUDI</t>
  </si>
  <si>
    <t>Huile de coco</t>
  </si>
  <si>
    <t>VENDREDI</t>
  </si>
  <si>
    <t>SAMEDI</t>
  </si>
  <si>
    <t>REPAS 1</t>
  </si>
  <si>
    <t>DIMANCHE</t>
  </si>
  <si>
    <t>MOYENNE</t>
  </si>
  <si>
    <t>Huile d'olive</t>
  </si>
  <si>
    <t>ADHESION</t>
  </si>
  <si>
    <t>HAUT</t>
  </si>
  <si>
    <t>BAS</t>
  </si>
  <si>
    <t>Beurre de cacahuète</t>
  </si>
  <si>
    <t>Riz basmati cru</t>
  </si>
  <si>
    <t>Pâtes blanches crues</t>
  </si>
  <si>
    <t>Quinoa cru</t>
  </si>
  <si>
    <t>Semoule cru</t>
  </si>
  <si>
    <t>Potatoes au four</t>
  </si>
  <si>
    <t>Pomme de terre bouillie</t>
  </si>
  <si>
    <t>REPAS 2</t>
  </si>
  <si>
    <t>Patate douce au four</t>
  </si>
  <si>
    <t>Patate douce bouillie</t>
  </si>
  <si>
    <t>Flocons d'avoine</t>
  </si>
  <si>
    <t>Farine d'avoine</t>
  </si>
  <si>
    <t>Farine de patate douce - Ing. Sup.</t>
  </si>
  <si>
    <t>8;6</t>
  </si>
  <si>
    <t>Farine de patate douce - YAM</t>
  </si>
  <si>
    <t>Pain de mie complet</t>
  </si>
  <si>
    <t>OBJECTIF</t>
  </si>
  <si>
    <t>Corn flakes</t>
  </si>
  <si>
    <t>REPAS 3</t>
  </si>
  <si>
    <t>Weetabix crispy minis</t>
  </si>
  <si>
    <t>Farine d'avoine vanille</t>
  </si>
  <si>
    <t>Banane</t>
  </si>
  <si>
    <t>Pomme "Gala"</t>
  </si>
  <si>
    <t>Kiwi jaune</t>
  </si>
  <si>
    <t>Kiwi vert</t>
  </si>
  <si>
    <t>Fraises</t>
  </si>
  <si>
    <t>Myrtilles</t>
  </si>
  <si>
    <t>REPAS 4</t>
  </si>
  <si>
    <t>Framboises</t>
  </si>
  <si>
    <t>Abricot</t>
  </si>
  <si>
    <t>Ananas</t>
  </si>
  <si>
    <t>Mangue</t>
  </si>
  <si>
    <t>Nectarine / Pêche</t>
  </si>
  <si>
    <t>Raisins</t>
  </si>
  <si>
    <t>Poivrons</t>
  </si>
  <si>
    <t>Haricots verts</t>
  </si>
  <si>
    <t>REPAS 5</t>
  </si>
  <si>
    <t>Tomates cerises</t>
  </si>
  <si>
    <t>Oignons</t>
  </si>
  <si>
    <t>Champignons de Paris</t>
  </si>
  <si>
    <t>Brocolis</t>
  </si>
  <si>
    <t>Courgettes</t>
  </si>
  <si>
    <t>Carotte</t>
  </si>
  <si>
    <t>Coulis de tomate</t>
  </si>
  <si>
    <t>Confiture intense/allégée</t>
  </si>
  <si>
    <t>EQUIVALENCES</t>
  </si>
  <si>
    <t>Miel</t>
  </si>
  <si>
    <t>Oeuf</t>
  </si>
  <si>
    <t>PLAN JOUR BAS</t>
  </si>
  <si>
    <t>Epinards</t>
  </si>
  <si>
    <t>Steak haché 5% cuit</t>
  </si>
  <si>
    <t>Chou-fleur</t>
  </si>
  <si>
    <t>QUANTITE</t>
  </si>
  <si>
    <t>Blanc de poulet cuit</t>
  </si>
  <si>
    <t>Patate douce</t>
  </si>
  <si>
    <t>Pomme de terre</t>
  </si>
  <si>
    <t>Thon rouge</t>
  </si>
  <si>
    <t>Riz basmati (100g)</t>
  </si>
  <si>
    <t>Pâtes</t>
  </si>
  <si>
    <t>Thon en conserve</t>
  </si>
  <si>
    <t>Quinoa</t>
  </si>
  <si>
    <t>Pavé de saumon</t>
  </si>
  <si>
    <t>Pomme de terre (~350g)</t>
  </si>
  <si>
    <t>Dos de cabillaud</t>
  </si>
  <si>
    <t>Semoule</t>
  </si>
  <si>
    <t>Colin d'alaska</t>
  </si>
  <si>
    <t>Blanc de poulet (100g)</t>
  </si>
  <si>
    <t>Colin (120g)</t>
  </si>
  <si>
    <t>Filet de merlan</t>
  </si>
  <si>
    <t>Cabillaud (120g)</t>
  </si>
  <si>
    <t>Emmental</t>
  </si>
  <si>
    <t>Merlan (120g)</t>
  </si>
  <si>
    <t>Comté</t>
  </si>
  <si>
    <t>Steak haché 5%</t>
  </si>
  <si>
    <t>Mozzarella</t>
  </si>
  <si>
    <t>Skyr (200g)</t>
  </si>
  <si>
    <t>Whey isolate (30g)</t>
  </si>
  <si>
    <t>Fromage blanc 0%</t>
  </si>
  <si>
    <t>Pomme x1</t>
  </si>
  <si>
    <t>Banane (100g)</t>
  </si>
  <si>
    <t>Fromage blanc 3%</t>
  </si>
  <si>
    <t>Kiwi x2</t>
  </si>
  <si>
    <t>Skyr</t>
  </si>
  <si>
    <t>Yaourt nature</t>
  </si>
  <si>
    <t>Yaourt nature sucré</t>
  </si>
  <si>
    <t>Lait demi écrémé</t>
  </si>
  <si>
    <t>Protéine isolate</t>
  </si>
  <si>
    <t>Sardines à l'huile d'olive</t>
  </si>
  <si>
    <t>Maquereau en conserve</t>
  </si>
  <si>
    <t>Nutella</t>
  </si>
  <si>
    <t>Beurre demi-sel</t>
  </si>
  <si>
    <t>Cracottes au froment</t>
  </si>
  <si>
    <t>Kaki</t>
  </si>
  <si>
    <t>Avocat</t>
  </si>
  <si>
    <t>Chèvre buche</t>
  </si>
  <si>
    <t>Cappuccino</t>
  </si>
  <si>
    <t>Chocolat noir 70%</t>
  </si>
  <si>
    <t>Chocolat noir 85%</t>
  </si>
  <si>
    <t>Pépites de chocolat noir</t>
  </si>
  <si>
    <t>Concombre</t>
  </si>
  <si>
    <t>Crème balsamique</t>
  </si>
  <si>
    <t>Pain de mie seigle &amp; graines</t>
  </si>
  <si>
    <t>Leerdamer léger</t>
  </si>
  <si>
    <t>Laitue</t>
  </si>
  <si>
    <t>Carré frais 0%</t>
  </si>
  <si>
    <t>Jus de citron</t>
  </si>
  <si>
    <t>Feta</t>
  </si>
  <si>
    <t>Olives vertes (dénoyautées)</t>
  </si>
  <si>
    <t>Jambon blanc supérieur</t>
  </si>
  <si>
    <t>Clémentine</t>
  </si>
  <si>
    <t>Granola "Bjorg" Chocolat</t>
  </si>
  <si>
    <t>Amandes</t>
  </si>
  <si>
    <t>Noix</t>
  </si>
  <si>
    <t>Noix de cajou</t>
  </si>
  <si>
    <t>Noix du Brésil</t>
  </si>
  <si>
    <t>Pom'potes "sans sucres ajoutés"</t>
  </si>
  <si>
    <t>Epinards hachés à la crème</t>
  </si>
  <si>
    <t>#</t>
  </si>
  <si>
    <t>EXERCICE</t>
  </si>
  <si>
    <t>VARIANT</t>
  </si>
  <si>
    <t>SET</t>
  </si>
  <si>
    <t>REPS</t>
  </si>
  <si>
    <t>RECUP (s)</t>
  </si>
  <si>
    <t>TEMPO (E-P-C-P)</t>
  </si>
  <si>
    <t>MUSCLE CIBLE</t>
  </si>
  <si>
    <t>SEANCE 1</t>
  </si>
  <si>
    <t>SEANCE 2</t>
  </si>
  <si>
    <t>SEANCE 3</t>
  </si>
  <si>
    <t>SEANCE 4</t>
  </si>
  <si>
    <t>SEANCE 5</t>
  </si>
  <si>
    <t>SEANCE 6</t>
  </si>
  <si>
    <t>CHARGE</t>
  </si>
  <si>
    <t>LEGENDE</t>
  </si>
  <si>
    <t>SUPERSET</t>
  </si>
  <si>
    <r>
      <rPr>
        <rFont val="Arial"/>
        <color theme="1"/>
        <sz val="9.0"/>
      </rPr>
      <t xml:space="preserve">Enchainer l'ex. </t>
    </r>
    <r>
      <rPr>
        <rFont val="Arial"/>
        <b/>
        <color theme="1"/>
        <sz val="9.0"/>
      </rPr>
      <t xml:space="preserve">A </t>
    </r>
    <r>
      <rPr>
        <rFont val="Arial"/>
        <color theme="1"/>
        <sz val="9.0"/>
      </rPr>
      <t xml:space="preserve">puis l'ex </t>
    </r>
    <r>
      <rPr>
        <rFont val="Arial"/>
        <b/>
        <color theme="1"/>
        <sz val="9.0"/>
      </rPr>
      <t xml:space="preserve">B </t>
    </r>
    <r>
      <rPr>
        <rFont val="Arial"/>
        <color theme="1"/>
        <sz val="9.0"/>
      </rPr>
      <t xml:space="preserve">sans temps de repos entre les 2, la recup s'effectue à la fin de l'ex. </t>
    </r>
    <r>
      <rPr>
        <rFont val="Arial"/>
        <b/>
        <color theme="1"/>
        <sz val="9.0"/>
      </rPr>
      <t>B</t>
    </r>
  </si>
  <si>
    <t>ECHAUFFEMENT</t>
  </si>
  <si>
    <r>
      <rPr>
        <rFont val="Arial"/>
        <i/>
        <color theme="1"/>
        <sz val="9.0"/>
      </rPr>
      <t xml:space="preserve">Cardio </t>
    </r>
    <r>
      <rPr>
        <rFont val="Arial"/>
        <color theme="1"/>
        <sz val="9.0"/>
      </rPr>
      <t xml:space="preserve">: </t>
    </r>
    <r>
      <rPr>
        <rFont val="Arial"/>
        <b/>
        <color theme="1"/>
        <sz val="9.0"/>
      </rPr>
      <t>5-10 min</t>
    </r>
    <r>
      <rPr>
        <rFont val="Arial"/>
        <color theme="1"/>
        <sz val="9.0"/>
      </rPr>
      <t>, l'objectif est d'</t>
    </r>
    <r>
      <rPr>
        <rFont val="Arial"/>
        <b/>
        <color theme="1"/>
        <sz val="9.0"/>
      </rPr>
      <t>augmenter la température corporelle</t>
    </r>
    <r>
      <rPr>
        <rFont val="Arial"/>
        <color theme="1"/>
        <sz val="9.0"/>
      </rPr>
      <t xml:space="preserve"> et de commencer à préparer articulations, muscles et système cardio-respiratoire à l'effort</t>
    </r>
  </si>
  <si>
    <r>
      <rPr>
        <rFont val="Arial"/>
        <i/>
        <color theme="1"/>
        <sz val="9.0"/>
      </rPr>
      <t>Séries de chauffe</t>
    </r>
    <r>
      <rPr>
        <rFont val="Arial"/>
        <color theme="1"/>
        <sz val="9.0"/>
      </rPr>
      <t xml:space="preserve"> : effectuer</t>
    </r>
    <r>
      <rPr>
        <rFont val="Arial"/>
        <b/>
        <color theme="1"/>
        <sz val="9.0"/>
      </rPr>
      <t xml:space="preserve"> 1 à 4 séries de chauffe/montée en CHARGE</t>
    </r>
    <r>
      <rPr>
        <rFont val="Arial"/>
        <color theme="1"/>
        <sz val="9.0"/>
      </rPr>
      <t xml:space="preserve"> sur </t>
    </r>
    <r>
      <rPr>
        <rFont val="Arial"/>
        <b/>
        <color theme="1"/>
        <sz val="9.0"/>
      </rPr>
      <t>le(s) premier(s) exercice(s) de chaque groupe musculaire</t>
    </r>
    <r>
      <rPr>
        <rFont val="Arial"/>
        <color theme="1"/>
        <sz val="9.0"/>
      </rPr>
      <t xml:space="preserve"> afin de préparer articulations et muscles à l'effort des séries effectives/de travail</t>
    </r>
  </si>
  <si>
    <t>POINTS FORTS / FAIBLES</t>
  </si>
  <si>
    <t>FAIBLE</t>
  </si>
  <si>
    <t>MOYEN</t>
  </si>
  <si>
    <t>FORT</t>
  </si>
  <si>
    <t>REPARTITION HEBDOMADAIRE</t>
  </si>
  <si>
    <t>Lundi</t>
  </si>
  <si>
    <t>Mardi</t>
  </si>
  <si>
    <t>Mercredi</t>
  </si>
  <si>
    <t>Jeudi</t>
  </si>
  <si>
    <t>Vendredi</t>
  </si>
  <si>
    <t>Samedi</t>
  </si>
  <si>
    <t>Dimanche</t>
  </si>
  <si>
    <t>SERIES PAR MUSCLE</t>
  </si>
  <si>
    <t>Pectoraux</t>
  </si>
  <si>
    <t>Haut dos / Delt. post.</t>
  </si>
  <si>
    <t>Dorsaux</t>
  </si>
  <si>
    <t>Bas du dos</t>
  </si>
  <si>
    <t>Deltoïde ant.</t>
  </si>
  <si>
    <t>Deltoïde moy.</t>
  </si>
  <si>
    <t>Biceps</t>
  </si>
  <si>
    <t>Triceps</t>
  </si>
  <si>
    <t>Fessiers</t>
  </si>
  <si>
    <t>Ischios</t>
  </si>
  <si>
    <t>Quadriceps</t>
  </si>
  <si>
    <t>Adducteurs</t>
  </si>
  <si>
    <t>Mollets</t>
  </si>
  <si>
    <t>Abdos</t>
  </si>
  <si>
    <t>POULIES VIS A VIS</t>
  </si>
  <si>
    <t>PECS</t>
  </si>
  <si>
    <t>BUTTERFLY</t>
  </si>
  <si>
    <t>ECARTES HALTERES 15°</t>
  </si>
  <si>
    <t>DEVELOPPE COUCHE BARRE</t>
  </si>
  <si>
    <t>DEVELOPPE COUCHE HALTERES</t>
  </si>
  <si>
    <t>DEVELOPPE INCLINE BARRE</t>
  </si>
  <si>
    <t>DEVELOPPE INCLINE SMITH 15°</t>
  </si>
  <si>
    <t>DEVELOPPE INCLINE HALTERES 15°</t>
  </si>
  <si>
    <t>CHEST PRESS PRONATION</t>
  </si>
  <si>
    <t>CHEST PRESS NEUTRE</t>
  </si>
  <si>
    <t>STANDING CHEST PRESS PRONATION</t>
  </si>
  <si>
    <t>STANDING CHEST PRESS NEUTRE</t>
  </si>
  <si>
    <t>CHEST INCLINE NEUTRE</t>
  </si>
  <si>
    <t>WIDE CHEST PRESS</t>
  </si>
  <si>
    <t>PUSH UPS</t>
  </si>
  <si>
    <t>TRACTIONS PRONATION</t>
  </si>
  <si>
    <t>DORSAUX</t>
  </si>
  <si>
    <t>TRACTIONS NEUTRE</t>
  </si>
  <si>
    <t>TIRAGE VERTICAL PRONATION</t>
  </si>
  <si>
    <t>TIRAGE VERTICAL NEUTRE SERRE</t>
  </si>
  <si>
    <t>TIRAGE VERTICAL NEUTRE LARGE</t>
  </si>
  <si>
    <t>HAUT DOS / DELT. POST.</t>
  </si>
  <si>
    <t>TIRAGE HORIZONTAL PRONATION</t>
  </si>
  <si>
    <t>TIRAGE HORIZONTAL NEUTRE SERRE</t>
  </si>
  <si>
    <t>TIRAGE HORIZONTAL NEUTRE LARGE</t>
  </si>
  <si>
    <t>LOW ROW</t>
  </si>
  <si>
    <t>ROW</t>
  </si>
  <si>
    <t xml:space="preserve"> ROWING SUPINATION</t>
  </si>
  <si>
    <t>ROWING PRONATION</t>
  </si>
  <si>
    <t>DORSAUX / HAUT DOS</t>
  </si>
  <si>
    <t>T-BAR PRONATION</t>
  </si>
  <si>
    <t>T-BAR NEUTRE</t>
  </si>
  <si>
    <t>T-BAR 45°</t>
  </si>
  <si>
    <t>FACEPULL CORDE</t>
  </si>
  <si>
    <t>DELTO. POST. POULIE</t>
  </si>
  <si>
    <t>DELT. POST.</t>
  </si>
  <si>
    <t>ELEVATIONS ARRIERES HALTERES</t>
  </si>
  <si>
    <t>ELEVATIONS LATERALES HALTERES</t>
  </si>
  <si>
    <t>DELT. MOY.</t>
  </si>
  <si>
    <t>ELEVATIONS LATERALES MACHINE</t>
  </si>
  <si>
    <t>ELEVATIONS LATERALES POULIE</t>
  </si>
  <si>
    <t>ELEVATIONS FRONTALES HALTERES</t>
  </si>
  <si>
    <t>DELT. ANT.</t>
  </si>
  <si>
    <t>ELEVATIONS FRONTALES POULIE</t>
  </si>
  <si>
    <t>SHOULDER PRESS</t>
  </si>
  <si>
    <t>DELT. ANT. / MOY.</t>
  </si>
  <si>
    <t>DEVELOPPE MILITAIRE SMITH</t>
  </si>
  <si>
    <t>DEVELOPPE MILITAIRE BARRE</t>
  </si>
  <si>
    <t>ELEVATIONS Y</t>
  </si>
  <si>
    <t>CURL CORDE POULIE</t>
  </si>
  <si>
    <t>BICEPS</t>
  </si>
  <si>
    <t>CURL BARRE POULIE</t>
  </si>
  <si>
    <t>CURL SEMI ALLONGE BANC</t>
  </si>
  <si>
    <t>CURL MARTEAU SEMI ALLONGE BANC</t>
  </si>
  <si>
    <t>CURL POIGNEE POULIE</t>
  </si>
  <si>
    <t>TRICEPS OVERHEAD POULIE BARRE</t>
  </si>
  <si>
    <t>TRICEPS</t>
  </si>
  <si>
    <t>TRICEPS PUSHDOWN BARRE</t>
  </si>
  <si>
    <t>TRICEPS PUSHDOWN CORDE</t>
  </si>
  <si>
    <t>TRICEPS OVERHEAD POULIE CORDE</t>
  </si>
  <si>
    <t>SKULL CRUSHER BARRE EZ</t>
  </si>
  <si>
    <t>SKULL CRUSHER HALTERES</t>
  </si>
  <si>
    <t>SQUAT</t>
  </si>
  <si>
    <t>QUADS</t>
  </si>
  <si>
    <t>HACK SQUAT</t>
  </si>
  <si>
    <t>V-SQUAT QUAD DOMINANT</t>
  </si>
  <si>
    <t>V-SQUAT GLUTE DOMINANT</t>
  </si>
  <si>
    <t>FESSIERS</t>
  </si>
  <si>
    <t>BELT SQUAT QUAD DOMINANT</t>
  </si>
  <si>
    <t>BELT SQUAT GLUTE DOMINANT</t>
  </si>
  <si>
    <t>FENTES BULGARES HALTERES QUAD DOMINANT</t>
  </si>
  <si>
    <t>FENTES BULGARES HALTERES GLUTE DOMINANT</t>
  </si>
  <si>
    <t xml:space="preserve">FENTES MARCHEES QUAD DOMINANT
</t>
  </si>
  <si>
    <t>FENTES MARCHEES GLUTE DOMINANT</t>
  </si>
  <si>
    <t>FENTES SMITH QUAD DOMINANT</t>
  </si>
  <si>
    <t>FENTES SMITH GLUTE DOMINANT</t>
  </si>
  <si>
    <t>STEP UPS</t>
  </si>
  <si>
    <t>GOBELET SQUAT</t>
  </si>
  <si>
    <t>PENDULUM SQUAT</t>
  </si>
  <si>
    <t>DUAL LEG PRESS GLUTE DOMINANT</t>
  </si>
  <si>
    <t>DUAL LEG PRESS QUAD DOMINANT</t>
  </si>
  <si>
    <t>DEADLIFT</t>
  </si>
  <si>
    <t>LOMBAIRES</t>
  </si>
  <si>
    <t>ROMANIAN DEADLIFT</t>
  </si>
  <si>
    <t>FESSIERS / ISCHIOS</t>
  </si>
  <si>
    <t>STIFF LEG DEADLIFT BARRE</t>
  </si>
  <si>
    <t>ISCHIOS</t>
  </si>
  <si>
    <t>STIFF LEG DEADLIFT HALTERES</t>
  </si>
  <si>
    <t>STIFF LEG DEADLIFT SMITH MACHINE</t>
  </si>
  <si>
    <t>NORDIC CURL</t>
  </si>
  <si>
    <t>GOOD MORNING BARRE</t>
  </si>
  <si>
    <t>LEG CURL ASSIS</t>
  </si>
  <si>
    <t>LEG CURL ALLONGE</t>
  </si>
  <si>
    <t>LEG CURL DEBOUT HAMMER</t>
  </si>
  <si>
    <t>LEG CURL DEBOUT TECHNOGYM</t>
  </si>
  <si>
    <t>LEG EXTENSION TECHNOGYM</t>
  </si>
  <si>
    <t>LEG EXTENSION HAMMER</t>
  </si>
  <si>
    <t>PRESSE HORIZONTALE QUAD DOMINANT</t>
  </si>
  <si>
    <t>PRESSE HORIZONTALE GLUTE DOMINANT</t>
  </si>
  <si>
    <t>PRESSE INCLINEE QUAD DOMINANT</t>
  </si>
  <si>
    <t>PRESSE INCLINEE GLUTE DOMINANT</t>
  </si>
  <si>
    <t>MOLLETS DEBOUT</t>
  </si>
  <si>
    <t>MOLLETS</t>
  </si>
  <si>
    <t>MOLLETS ASSIS</t>
  </si>
  <si>
    <t>SISSY SQUAT</t>
  </si>
  <si>
    <t>ADDUCTOR</t>
  </si>
  <si>
    <t>ADDUC.</t>
  </si>
  <si>
    <t>ABDUCTOR</t>
  </si>
  <si>
    <t>PULLDOWN</t>
  </si>
  <si>
    <t>CRUNCH POULIE</t>
  </si>
  <si>
    <t>ABDOS</t>
  </si>
  <si>
    <t>PLANCHE</t>
  </si>
  <si>
    <t>HIP THRUST MACHINE</t>
  </si>
  <si>
    <t>HIP THRUST BARRE</t>
  </si>
  <si>
    <t>PEC DECK</t>
  </si>
  <si>
    <t>GLUTE BRIDGE</t>
  </si>
  <si>
    <t>HIGH ROW</t>
  </si>
  <si>
    <t>ROW NEUTRE</t>
  </si>
  <si>
    <t>GOOD MORNING HACK</t>
  </si>
  <si>
    <t>TRACTIONS NEGATIVES</t>
  </si>
  <si>
    <t>TRACTIONS ELASTIQUE</t>
  </si>
  <si>
    <t>L-FLY</t>
  </si>
  <si>
    <t>KICKBACK MACHINE</t>
  </si>
  <si>
    <t>KICKBACK POULIE</t>
  </si>
  <si>
    <t>TIRAGE MENTON LARGE</t>
  </si>
  <si>
    <t>ISO-LATERAL FRONT LAT PULLDOWN</t>
  </si>
  <si>
    <t>ISO-LATERAL HIGH ROW</t>
  </si>
  <si>
    <t>HAUT DOS / DORSAUX</t>
  </si>
  <si>
    <t>ISO-LATERAL D.Y. ROW</t>
  </si>
  <si>
    <t>STANDING SHOULDER PRESS</t>
  </si>
  <si>
    <t>HIP THRUST SMITH MACHINE</t>
  </si>
  <si>
    <t>FENTES BULGARES MACHINE GLUTE DOMINANT</t>
  </si>
  <si>
    <t>FENTES BULGARES MACHINE QUAD DOMINANT</t>
  </si>
  <si>
    <t>ROW CHEST SUPPORTED HALTERES</t>
  </si>
  <si>
    <t>PRESSE INCLINEE NEUTRE</t>
  </si>
  <si>
    <t>QUADS / FESSIERS</t>
  </si>
  <si>
    <t>STIFF LEG DEADLIFT MACHINE</t>
  </si>
  <si>
    <t>FLAT CHEST PRESS</t>
  </si>
  <si>
    <t>LEG EXTENSION</t>
  </si>
  <si>
    <t>REAR DELT (PEC DECK)</t>
  </si>
  <si>
    <t>TIRAGE VERTICAL NEUTRE LARGEUR EPAULES</t>
  </si>
  <si>
    <t>MAGNESIUM</t>
  </si>
  <si>
    <t>ZINC</t>
  </si>
  <si>
    <t>COLLAGENE</t>
  </si>
  <si>
    <t>MULTIVITAMINES</t>
  </si>
  <si>
    <t>Voir emballage</t>
  </si>
  <si>
    <t>VITAMINE D3</t>
  </si>
  <si>
    <t>VITAMINE C</t>
  </si>
  <si>
    <t>COMPLEXE VITAMINE B</t>
  </si>
  <si>
    <t>WHEY ISOLATE</t>
  </si>
  <si>
    <t>CLEAR WHEY ISOLATE</t>
  </si>
  <si>
    <t>CREATINE</t>
  </si>
  <si>
    <t>ASHWAGHANDA</t>
  </si>
  <si>
    <t>CALCIUM</t>
  </si>
  <si>
    <t>FER</t>
  </si>
  <si>
    <t>SELENIUM</t>
  </si>
  <si>
    <t>OMEGA 3</t>
  </si>
  <si>
    <t>MELATONINE</t>
  </si>
  <si>
    <t>GABA</t>
  </si>
  <si>
    <t>NAC</t>
  </si>
  <si>
    <t>CHROME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</si>
</sst>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g&quot;"/>
    <numFmt numFmtId="165" formatCode="dd/MM/yyyy"/>
    <numFmt numFmtId="166" formatCode="dd/mm/yyyy"/>
    <numFmt numFmtId="167" formatCode="d-m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b/>
      <sz val="8.0"/>
      <color rgb="FFFFFFFF"/>
      <name val="Arial"/>
    </font>
    <font>
      <sz val="10.0"/>
      <color theme="1"/>
      <name val="Arial"/>
    </font>
    <font>
      <b/>
      <sz val="9.0"/>
      <color rgb="FFFFFFFF"/>
      <name val="Arial"/>
    </font>
    <font/>
    <font>
      <b/>
      <sz val="40.0"/>
      <color rgb="FF674EA7"/>
      <name val="Arial"/>
    </font>
    <font>
      <b/>
      <sz val="8.0"/>
      <color theme="0"/>
      <name val="Arial"/>
    </font>
    <font>
      <b/>
      <u/>
      <sz val="15.0"/>
      <color rgb="FF674EA7"/>
      <name val="Arial"/>
    </font>
    <font>
      <sz val="8.0"/>
      <color rgb="FFFFFFFF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ptos Narrow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>
      <b/>
      <sz val="9.0"/>
      <color rgb="FF674EA7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</fills>
  <borders count="16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674EA7"/>
      </left>
      <right style="medium">
        <color rgb="FFB7B7B7"/>
      </right>
      <top style="medium">
        <color rgb="FF674EA7"/>
      </top>
    </border>
    <border>
      <left style="medium">
        <color rgb="FFB7B7B7"/>
      </left>
      <right style="medium">
        <color rgb="FFB7B7B7"/>
      </right>
      <top style="medium">
        <color rgb="FF674EA7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B7B7B7"/>
      </left>
      <top style="medium">
        <color rgb="FF674EA7"/>
      </top>
      <bottom style="medium">
        <color rgb="FFB7B7B7"/>
      </bottom>
    </border>
    <border>
      <left style="medium">
        <color rgb="FF674EA7"/>
      </left>
      <top style="medium">
        <color rgb="FF674EA7"/>
      </top>
      <bottom style="medium">
        <color rgb="FF674EA7"/>
      </bottom>
    </border>
    <border>
      <left style="medium">
        <color rgb="FFFFFFFF"/>
      </left>
      <right style="medium">
        <color rgb="FFFFFFFF"/>
      </right>
    </border>
    <border>
      <top style="medium">
        <color rgb="FF674EA7"/>
      </top>
      <bottom style="medium">
        <color rgb="FF674EA7"/>
      </bottom>
    </border>
    <border>
      <right style="medium">
        <color rgb="FF674EA7"/>
      </right>
      <top style="medium">
        <color rgb="FF674EA7"/>
      </top>
      <bottom style="medium">
        <color rgb="FF674EA7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B7B7B7"/>
      </right>
      <top style="medium">
        <color rgb="FF674EA7"/>
      </top>
      <bottom style="medium">
        <color rgb="FFB7B7B7"/>
      </bottom>
    </border>
    <border>
      <left style="medium">
        <color rgb="FFFFFFFF"/>
      </left>
      <top style="medium">
        <color rgb="FFFFFFFF"/>
      </top>
    </border>
    <border>
      <left style="medium">
        <color rgb="FF674EA7"/>
      </left>
      <right style="medium">
        <color rgb="FFB7B7B7"/>
      </right>
      <top style="medium">
        <color rgb="FF674EA7"/>
      </top>
      <bottom style="medium">
        <color rgb="FF674EA7"/>
      </bottom>
    </border>
    <border>
      <left style="medium">
        <color rgb="FFB7B7B7"/>
      </left>
      <right style="medium">
        <color rgb="FFB7B7B7"/>
      </right>
      <top style="medium">
        <color rgb="FF674EA7"/>
      </top>
      <bottom style="medium">
        <color rgb="FF674EA7"/>
      </bottom>
    </border>
    <border>
      <left style="medium">
        <color rgb="FFB7B7B7"/>
      </left>
      <top style="medium">
        <color rgb="FF674EA7"/>
      </top>
      <bottom style="medium">
        <color rgb="FF674EA7"/>
      </bottom>
    </border>
    <border>
      <left style="medium">
        <color rgb="FFB7B7B7"/>
      </left>
      <right style="medium">
        <color rgb="FF674EA7"/>
      </right>
      <top style="medium">
        <color rgb="FF674EA7"/>
      </top>
    </border>
    <border>
      <left style="thin">
        <color rgb="FFFFFFFF"/>
      </left>
      <right style="thin">
        <color rgb="FFFFFFFF"/>
      </right>
    </border>
    <border>
      <right style="medium">
        <color rgb="FFB7B7B7"/>
      </right>
      <top style="medium">
        <color rgb="FF674EA7"/>
      </top>
      <bottom style="medium">
        <color rgb="FF674EA7"/>
      </bottom>
    </border>
    <border>
      <left style="medium">
        <color rgb="FF674EA7"/>
      </left>
      <right style="medium">
        <color rgb="FFB7B7B7"/>
      </right>
      <bottom style="thin">
        <color rgb="FFB7B7B7"/>
      </bottom>
    </border>
    <border>
      <left style="medium">
        <color rgb="FFB7B7B7"/>
      </left>
      <right style="medium">
        <color rgb="FFB7B7B7"/>
      </right>
      <bottom style="thin">
        <color rgb="FFB7B7B7"/>
      </bottom>
    </border>
    <border>
      <right style="medium">
        <color rgb="FFB7B7B7"/>
      </right>
      <top style="medium">
        <color rgb="FF674EA7"/>
      </top>
    </border>
    <border>
      <left style="medium">
        <color rgb="FFB7B7B7"/>
      </left>
      <right style="medium">
        <color rgb="FFB7B7B7"/>
      </right>
      <top style="medium">
        <color rgb="FFB7B7B7"/>
      </top>
      <bottom style="thin">
        <color rgb="FFB7B7B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</border>
    <border>
      <left style="medium">
        <color rgb="FF674EA7"/>
      </left>
      <top style="medium">
        <color rgb="FF674EA7"/>
      </top>
      <bottom style="thin">
        <color rgb="FFD9D9D9"/>
      </bottom>
    </border>
    <border>
      <left style="medium">
        <color rgb="FF674EA7"/>
      </left>
      <right style="medium">
        <color rgb="FFB7B7B7"/>
      </right>
      <bottom style="thin">
        <color rgb="FFD9D9D9"/>
      </bottom>
    </border>
    <border>
      <right style="thin">
        <color rgb="FFD9D9D9"/>
      </right>
      <top style="medium">
        <color rgb="FF674EA7"/>
      </top>
      <bottom style="thin">
        <color rgb="FFD9D9D9"/>
      </bottom>
    </border>
    <border>
      <right style="medium">
        <color rgb="FFB7B7B7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674EA7"/>
      </top>
      <bottom style="thin">
        <color rgb="FFD9D9D9"/>
      </bottom>
    </border>
    <border>
      <bottom style="thin">
        <color rgb="FFD9D9D9"/>
      </bottom>
    </border>
    <border>
      <left style="medium">
        <color rgb="FFB7B7B7"/>
      </left>
      <right style="medium">
        <color rgb="FFB7B7B7"/>
      </right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medium">
        <color rgb="FF674EA7"/>
      </top>
      <bottom style="thin">
        <color rgb="FFD9D9D9"/>
      </bottom>
    </border>
    <border>
      <right style="medium">
        <color rgb="FF674EA7"/>
      </right>
      <bottom style="thin">
        <color rgb="FFD9D9D9"/>
      </bottom>
    </border>
    <border>
      <top style="medium">
        <color rgb="FF674EA7"/>
      </top>
      <bottom style="thin">
        <color rgb="FFD9D9D9"/>
      </bottom>
    </border>
    <border>
      <right style="medium">
        <color rgb="FFFFFFFF"/>
      </right>
    </border>
    <border>
      <right style="medium">
        <color rgb="FF674EA7"/>
      </right>
      <top style="medium">
        <color rgb="FF674EA7"/>
      </top>
      <bottom style="thin">
        <color rgb="FFD9D9D9"/>
      </bottom>
    </border>
    <border>
      <top style="thin">
        <color rgb="FFFFFFFF"/>
      </top>
      <bottom style="thin">
        <color rgb="FFFFFFFF"/>
      </bottom>
    </border>
    <border>
      <left style="medium">
        <color rgb="FF674EA7"/>
      </left>
      <right style="thin">
        <color rgb="FFD9D9D9"/>
      </right>
      <top style="thin">
        <color rgb="FFD9D9D9"/>
      </top>
      <bottom style="medium">
        <color rgb="FF674EA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674EA7"/>
      </bottom>
    </border>
    <border>
      <left style="medium">
        <color rgb="FF674EA7"/>
      </left>
      <right style="thin">
        <color rgb="FFB7B7B7"/>
      </right>
      <top style="medium">
        <color rgb="FF674EA7"/>
      </top>
      <bottom style="thin">
        <color rgb="FFB7B7B7"/>
      </bottom>
    </border>
    <border>
      <left style="medium">
        <color rgb="FF674EA7"/>
      </left>
      <right style="medium">
        <color rgb="FFB7B7B7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medium">
        <color rgb="FF674EA7"/>
      </top>
      <bottom style="thin">
        <color rgb="FFB7B7B7"/>
      </bottom>
    </border>
    <border>
      <right style="medium">
        <color rgb="FFB7B7B7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B7B7B7"/>
      </left>
      <right style="medium">
        <color rgb="FF674EA7"/>
      </right>
      <top style="medium">
        <color rgb="FF674EA7"/>
      </top>
      <bottom style="thin">
        <color rgb="FFB7B7B7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674EA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B7B7B7"/>
      </left>
      <right style="medium">
        <color rgb="FF674EA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674EA7"/>
      </right>
      <top style="thin">
        <color rgb="FFB7B7B7"/>
      </top>
      <bottom style="thin">
        <color rgb="FFB7B7B7"/>
      </bottom>
    </border>
    <border>
      <right style="medium">
        <color rgb="FF674EA7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FF674EA7"/>
      </bottom>
    </border>
    <border>
      <left style="medium">
        <color rgb="FF674EA7"/>
      </left>
      <right style="medium">
        <color rgb="FFB7B7B7"/>
      </right>
      <bottom style="medium">
        <color rgb="FFB7B7B7"/>
      </bottom>
    </border>
    <border>
      <top style="thin">
        <color rgb="FFD9D9D9"/>
      </top>
      <bottom style="medium">
        <color rgb="FF674EA7"/>
      </bottom>
    </border>
    <border>
      <right style="thin">
        <color rgb="FFD9D9D9"/>
      </right>
      <top style="thin">
        <color rgb="FFD9D9D9"/>
      </top>
      <bottom style="medium">
        <color rgb="FF674EA7"/>
      </bottom>
    </border>
    <border>
      <left style="thin">
        <color rgb="FFD9D9D9"/>
      </left>
      <right style="medium">
        <color rgb="FF674EA7"/>
      </right>
      <top style="thin">
        <color rgb="FFD9D9D9"/>
      </top>
      <bottom style="medium">
        <color rgb="FF674EA7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D9D9D9"/>
      </left>
      <right style="medium">
        <color rgb="FF674EA7"/>
      </right>
      <bottom style="thin">
        <color rgb="FFD9D9D9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674EA7"/>
      </left>
      <right style="thin">
        <color rgb="FFB7B7B7"/>
      </right>
      <top style="thin">
        <color rgb="FFB7B7B7"/>
      </top>
      <bottom style="medium">
        <color rgb="FF674EA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674EA7"/>
      </bottom>
    </border>
    <border>
      <right style="medium">
        <color rgb="FFB7B7B7"/>
      </right>
      <top style="thin">
        <color rgb="FFD9D9D9"/>
      </top>
    </border>
    <border>
      <left style="thin">
        <color rgb="FFB7B7B7"/>
      </left>
      <right style="medium">
        <color rgb="FF674EA7"/>
      </right>
      <top style="thin">
        <color rgb="FFB7B7B7"/>
      </top>
      <bottom style="medium">
        <color rgb="FF674EA7"/>
      </bottom>
    </border>
    <border>
      <top style="thin">
        <color rgb="FFD9D9D9"/>
      </top>
    </border>
    <border>
      <left style="medium">
        <color rgb="FF674EA7"/>
      </left>
      <right style="thin">
        <color rgb="FFD9D9D9"/>
      </right>
      <top style="medium">
        <color rgb="FF674EA7"/>
      </top>
    </border>
    <border>
      <right style="thin">
        <color rgb="FFD9D9D9"/>
      </right>
      <top style="thin">
        <color rgb="FFD9D9D9"/>
      </top>
    </border>
    <border>
      <right style="medium">
        <color rgb="FF674EA7"/>
      </right>
      <top style="thin">
        <color rgb="FFD9D9D9"/>
      </top>
    </border>
    <border>
      <left style="medium">
        <color rgb="FFFFFFFF"/>
      </left>
      <bottom style="medium">
        <color rgb="FFFFFFFF"/>
      </bottom>
    </border>
    <border>
      <left style="medium">
        <color rgb="FF674EA7"/>
      </left>
      <top style="medium">
        <color rgb="FFB7B7B7"/>
      </top>
      <bottom style="medium">
        <color rgb="FF674EA7"/>
      </bottom>
    </border>
    <border>
      <right style="medium">
        <color rgb="FFB7B7B7"/>
      </right>
      <top style="medium">
        <color rgb="FFB7B7B7"/>
      </top>
      <bottom style="medium">
        <color rgb="FF674EA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674EA7"/>
      </bottom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left style="medium">
        <color rgb="FFB7B7B7"/>
      </left>
      <top style="medium">
        <color rgb="FFB7B7B7"/>
      </top>
      <bottom style="medium">
        <color rgb="FF674EA7"/>
      </bottom>
    </border>
    <border>
      <right style="medium">
        <color rgb="FFFFFFFF"/>
      </right>
      <bottom style="medium">
        <color rgb="FFFFFFFF"/>
      </bottom>
    </border>
    <border>
      <left style="thin">
        <color rgb="FFD9D9D9"/>
      </left>
      <right style="thin">
        <color rgb="FFD9D9D9"/>
      </right>
      <top style="medium">
        <color rgb="FF674EA7"/>
      </top>
    </border>
    <border>
      <left style="thin">
        <color rgb="FFD9D9D9"/>
      </left>
      <right style="medium">
        <color rgb="FF674EA7"/>
      </right>
      <top style="medium">
        <color rgb="FF674EA7"/>
      </top>
    </border>
    <border>
      <left style="medium">
        <color rgb="FF674EA7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medium">
        <color rgb="FF674EA7"/>
      </right>
    </border>
    <border>
      <left style="medium">
        <color rgb="FF674EA7"/>
      </left>
      <right style="medium">
        <color rgb="FF674EA7"/>
      </right>
      <top style="medium">
        <color rgb="FF674EA7"/>
      </top>
    </border>
    <border>
      <right style="medium">
        <color rgb="FF674EA7"/>
      </right>
      <top style="medium">
        <color rgb="FF674EA7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medium">
        <color rgb="FF674EA7"/>
      </left>
      <right style="medium">
        <color rgb="FF674EA7"/>
      </right>
      <bottom style="medium">
        <color rgb="FF674EA7"/>
      </bottom>
    </border>
    <border>
      <right style="medium">
        <color rgb="FF674EA7"/>
      </right>
      <bottom style="medium">
        <color rgb="FF674EA7"/>
      </bottom>
    </border>
    <border>
      <left style="medium">
        <color rgb="FF674EA7"/>
      </left>
      <right style="medium">
        <color rgb="FF674EA7"/>
      </right>
    </border>
    <border>
      <right style="thin">
        <color rgb="FFD9D9D9"/>
      </right>
    </border>
    <border>
      <left style="medium">
        <color rgb="FF674EA7"/>
      </left>
      <right style="medium">
        <color rgb="FF674EA7"/>
      </right>
      <bottom style="thin">
        <color rgb="FFD9D9D9"/>
      </bottom>
    </border>
    <border>
      <left style="medium">
        <color rgb="FF674EA7"/>
      </left>
      <right style="medium">
        <color rgb="FFB7B7B7"/>
      </right>
      <bottom style="medium">
        <color rgb="FF674EA7"/>
      </bottom>
    </border>
    <border>
      <left style="thin">
        <color rgb="FFD9D9D9"/>
      </left>
      <right style="thin">
        <color rgb="FFD9D9D9"/>
      </right>
      <bottom style="medium">
        <color rgb="FF674EA7"/>
      </bottom>
    </border>
    <border>
      <left style="thin">
        <color rgb="FFD9D9D9"/>
      </left>
      <right style="medium">
        <color rgb="FF674EA7"/>
      </right>
      <bottom style="medium">
        <color rgb="FF674EA7"/>
      </bottom>
    </border>
    <border>
      <left style="medium">
        <color rgb="FF674EA7"/>
      </left>
      <right style="medium">
        <color rgb="FF674EA7"/>
      </right>
      <top style="thin">
        <color rgb="FFD9D9D9"/>
      </top>
    </border>
    <border>
      <left style="thin">
        <color rgb="FFD9D9D9"/>
      </left>
      <right style="medium">
        <color rgb="FF674EA7"/>
      </right>
      <top style="thin">
        <color rgb="FFD9D9D9"/>
      </top>
    </border>
    <border>
      <left style="medium">
        <color rgb="FF674EA7"/>
      </left>
      <right style="thin">
        <color rgb="FFD9D9D9"/>
      </right>
      <bottom style="medium">
        <color rgb="FF674EA7"/>
      </bottom>
    </border>
    <border>
      <right style="thin">
        <color rgb="FFD9D9D9"/>
      </right>
      <bottom style="medium">
        <color rgb="FF674EA7"/>
      </bottom>
    </border>
    <border>
      <left style="medium">
        <color rgb="FFA64D79"/>
      </left>
      <top style="medium">
        <color rgb="FFA64D79"/>
      </top>
    </border>
    <border>
      <right style="medium">
        <color rgb="FFA64D79"/>
      </right>
      <top style="medium">
        <color rgb="FFA64D79"/>
      </top>
    </border>
    <border>
      <left style="medium">
        <color rgb="FFA64D79"/>
      </left>
      <bottom style="medium">
        <color rgb="FFA64D79"/>
      </bottom>
    </border>
    <border>
      <right style="medium">
        <color rgb="FFA64D79"/>
      </right>
      <bottom style="medium">
        <color rgb="FFA64D79"/>
      </bottom>
    </border>
    <border>
      <left style="medium">
        <color rgb="FFA64D79"/>
      </left>
      <right style="medium">
        <color rgb="FFA64D79"/>
      </right>
      <top style="medium">
        <color rgb="FFA64D79"/>
      </top>
    </border>
    <border>
      <left style="medium">
        <color rgb="FFA64D79"/>
      </left>
      <right style="medium">
        <color rgb="FFA64D79"/>
      </right>
    </border>
    <border>
      <right style="medium">
        <color rgb="FFA64D79"/>
      </right>
    </border>
    <border>
      <left style="medium">
        <color rgb="FFA64D79"/>
      </left>
      <right style="medium">
        <color rgb="FFA64D79"/>
      </right>
      <bottom style="medium">
        <color rgb="FFA64D79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674EA7"/>
      </left>
      <top style="medium">
        <color rgb="FF674EA7"/>
      </top>
    </border>
    <border>
      <top style="medium">
        <color rgb="FF674EA7"/>
      </top>
    </border>
    <border>
      <left style="medium">
        <color rgb="FFFFFFFF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FFFFFF"/>
      </right>
      <top style="medium">
        <color rgb="FFB7B7B7"/>
      </top>
      <bottom style="medium">
        <color rgb="FFB7B7B7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bottom style="thin">
        <color rgb="FFFFFFFF"/>
      </bottom>
    </border>
    <border>
      <left style="medium">
        <color rgb="FF674EA7"/>
      </left>
    </border>
    <border>
      <right style="medium">
        <color rgb="FF674EA7"/>
      </right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thin">
        <color rgb="FFD9D9D9"/>
      </left>
    </border>
    <border>
      <left style="medium">
        <color rgb="FF674EA7"/>
      </left>
      <bottom style="medium">
        <color rgb="FF674EA7"/>
      </bottom>
    </border>
    <border>
      <bottom style="medium">
        <color rgb="FF674EA7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B7B7B7"/>
      </left>
      <top style="medium">
        <color rgb="FF674EA7"/>
      </top>
    </border>
    <border>
      <right style="medium">
        <color rgb="FFB7B7B7"/>
      </right>
      <bottom style="medium">
        <color rgb="FFB7B7B7"/>
      </bottom>
    </border>
    <border>
      <left style="medium">
        <color rgb="FFB7B7B7"/>
      </left>
      <bottom style="medium">
        <color rgb="FFB7B7B7"/>
      </bottom>
    </border>
    <border>
      <bottom style="medium">
        <color rgb="FFB7B7B7"/>
      </bottom>
    </border>
    <border>
      <left style="medium">
        <color rgb="FFB7B7B7"/>
      </left>
      <right style="medium">
        <color rgb="FF674EA7"/>
      </right>
      <bottom style="medium">
        <color rgb="FFB7B7B7"/>
      </bottom>
    </border>
    <border>
      <left style="medium">
        <color rgb="FF674EA7"/>
      </left>
      <right style="medium">
        <color rgb="FFB7B7B7"/>
      </right>
      <top style="medium">
        <color rgb="FF674EA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674EA7"/>
      </top>
      <bottom style="medium">
        <color rgb="FFB7B7B7"/>
      </bottom>
    </border>
    <border>
      <left style="medium">
        <color rgb="FFB7B7B7"/>
      </left>
      <right style="medium">
        <color rgb="FF674EA7"/>
      </right>
      <top style="medium">
        <color rgb="FF674EA7"/>
      </top>
      <bottom style="medium">
        <color rgb="FFB7B7B7"/>
      </bottom>
    </border>
    <border>
      <right style="medium">
        <color rgb="FFB7B7B7"/>
      </right>
    </border>
    <border>
      <left style="medium">
        <color rgb="FF674EA7"/>
      </left>
      <right style="medium">
        <color rgb="FFB7B7B7"/>
      </right>
    </border>
    <border>
      <right style="medium">
        <color rgb="FFB7B7B7"/>
      </right>
      <top style="medium">
        <color rgb="FFB7B7B7"/>
      </top>
    </border>
    <border>
      <right style="medium">
        <color rgb="FFB7B7B7"/>
      </right>
      <bottom style="medium">
        <color rgb="FF674EA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FFFFFF"/>
      </right>
      <top style="thin">
        <color rgb="FFB7B7B7"/>
      </top>
    </border>
    <border>
      <right style="thin">
        <color rgb="FFFFFFFF"/>
      </right>
    </border>
    <border>
      <right style="thin">
        <color rgb="FFFFFFFF"/>
      </right>
      <bottom style="thin">
        <color rgb="FFB7B7B7"/>
      </bottom>
    </border>
    <border>
      <left style="thin">
        <color rgb="FFB7B7B7"/>
      </left>
      <bottom style="thin">
        <color rgb="FFFFFFFF"/>
      </bottom>
    </border>
    <border>
      <right style="thin">
        <color rgb="FFB7B7B7"/>
      </right>
      <bottom style="thin">
        <color rgb="FFFFFFFF"/>
      </bottom>
    </border>
    <border>
      <left style="medium">
        <color rgb="FF674EA7"/>
      </left>
      <right style="thin">
        <color rgb="FFD9D9D9"/>
      </right>
      <top style="medium">
        <color rgb="FF674EA7"/>
      </top>
      <bottom style="thin">
        <color rgb="FFD9D9D9"/>
      </bottom>
    </border>
    <border>
      <left style="thin">
        <color rgb="FFD9D9D9"/>
      </left>
      <right style="medium">
        <color rgb="FF674EA7"/>
      </right>
      <top style="medium">
        <color rgb="FF674EA7"/>
      </top>
      <bottom style="thin">
        <color rgb="FFD9D9D9"/>
      </bottom>
    </border>
    <border>
      <left style="medium">
        <color rgb="FF674EA7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674EA7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wrapText="1"/>
    </xf>
    <xf borderId="7" fillId="0" fontId="2" numFmtId="2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7" fillId="0" fontId="2" numFmtId="1" xfId="0" applyAlignment="1" applyBorder="1" applyFont="1" applyNumberFormat="1">
      <alignment horizontal="center" shrinkToFit="0" vertical="center" wrapText="1"/>
    </xf>
    <xf borderId="8" fillId="2" fontId="3" numFmtId="0" xfId="0" applyAlignment="1" applyBorder="1" applyFill="1" applyFont="1">
      <alignment horizontal="center" readingOrder="0" shrinkToFit="0" vertical="center" wrapText="1"/>
    </xf>
    <xf borderId="9" fillId="3" fontId="5" numFmtId="0" xfId="0" applyAlignment="1" applyBorder="1" applyFill="1" applyFon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2" numFmtId="0" xfId="0" applyAlignment="1" applyBorder="1" applyFont="1">
      <alignment horizontal="center" vertical="center"/>
    </xf>
    <xf borderId="6" fillId="0" fontId="2" numFmtId="2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wrapText="1"/>
    </xf>
    <xf borderId="6" fillId="0" fontId="2" numFmtId="1" xfId="0" applyAlignment="1" applyBorder="1" applyFont="1" applyNumberFormat="1">
      <alignment horizontal="center" shrinkToFit="0" vertical="center" wrapText="1"/>
    </xf>
    <xf borderId="15" fillId="0" fontId="6" numFmtId="0" xfId="0" applyBorder="1" applyFont="1"/>
    <xf borderId="1" fillId="0" fontId="4" numFmtId="1" xfId="0" applyAlignment="1" applyBorder="1" applyFont="1" applyNumberFormat="1">
      <alignment shrinkToFit="0" wrapText="1"/>
    </xf>
    <xf borderId="16" fillId="0" fontId="7" numFmtId="0" xfId="0" applyAlignment="1" applyBorder="1" applyFont="1">
      <alignment horizontal="center" readingOrder="0" shrinkToFit="0" vertical="center" wrapText="1"/>
    </xf>
    <xf borderId="17" fillId="2" fontId="5" numFmtId="0" xfId="0" applyAlignment="1" applyBorder="1" applyFill="1" applyFont="1">
      <alignment horizontal="center" readingOrder="0" shrinkToFit="0" vertical="center" wrapText="1"/>
    </xf>
    <xf borderId="18" fillId="2" fontId="5" numFmtId="0" xfId="0" applyAlignment="1" applyBorder="1" applyFill="1" applyFont="1">
      <alignment horizontal="center" readingOrder="0" shrinkToFit="0" vertical="center" wrapText="1"/>
    </xf>
    <xf borderId="19" fillId="2" fontId="5" numFmtId="2" xfId="0" applyAlignment="1" applyBorder="1" applyFill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20" fillId="2" fontId="3" numFmtId="0" xfId="0" applyAlignment="1" applyBorder="1" applyFill="1" applyFont="1">
      <alignment horizontal="center" readingOrder="0" shrinkToFit="0" vertical="center" wrapText="1"/>
    </xf>
    <xf borderId="21" fillId="0" fontId="4" numFmtId="0" xfId="0" applyAlignment="1" applyBorder="1" applyFont="1">
      <alignment shrinkToFit="0" wrapText="1"/>
    </xf>
    <xf borderId="22" fillId="2" fontId="5" numFmtId="0" xfId="0" applyAlignment="1" applyBorder="1" applyFill="1" applyFont="1">
      <alignment horizontal="center" readingOrder="0" shrinkToFit="0" vertical="center" wrapText="1"/>
    </xf>
    <xf borderId="14" fillId="0" fontId="1" numFmtId="0" xfId="0" applyBorder="1" applyFont="1"/>
    <xf borderId="21" fillId="0" fontId="4" numFmtId="164" xfId="0" applyAlignment="1" applyBorder="1" applyFont="1" applyNumberFormat="1">
      <alignment horizontal="center" shrinkToFit="0" wrapText="1"/>
    </xf>
    <xf borderId="21" fillId="0" fontId="4" numFmtId="1" xfId="0" applyAlignment="1" applyBorder="1" applyFont="1" applyNumberFormat="1">
      <alignment horizontal="center" shrinkToFit="0" wrapText="1"/>
    </xf>
    <xf borderId="23" fillId="0" fontId="6" numFmtId="0" xfId="0" applyBorder="1" applyFont="1"/>
    <xf borderId="21" fillId="0" fontId="4" numFmtId="1" xfId="0" applyAlignment="1" applyBorder="1" applyFont="1" applyNumberFormat="1">
      <alignment shrinkToFit="0" wrapText="1"/>
    </xf>
    <xf borderId="24" fillId="0" fontId="6" numFmtId="0" xfId="0" applyBorder="1" applyFont="1"/>
    <xf borderId="22" fillId="2" fontId="5" numFmtId="1" xfId="0" applyAlignment="1" applyBorder="1" applyFill="1" applyFont="1" applyNumberFormat="1">
      <alignment horizontal="center" readingOrder="0" shrinkToFit="0" vertical="center" wrapText="1"/>
    </xf>
    <xf borderId="25" fillId="2" fontId="5" numFmtId="0" xfId="0" applyAlignment="1" applyBorder="1" applyFill="1" applyFont="1">
      <alignment horizontal="center" readingOrder="0" shrinkToFit="0" vertical="center" wrapText="1"/>
    </xf>
    <xf borderId="26" fillId="5" fontId="8" numFmtId="0" xfId="0" applyAlignment="1" applyBorder="1" applyFill="1" applyFont="1">
      <alignment horizontal="center" readingOrder="0" shrinkToFit="0" vertical="center" wrapText="1"/>
    </xf>
    <xf borderId="27" fillId="6" fontId="4" numFmtId="0" xfId="0" applyAlignment="1" applyBorder="1" applyFill="1" applyFont="1">
      <alignment shrinkToFit="0" wrapText="1"/>
    </xf>
    <xf borderId="12" fillId="2" fontId="5" numFmtId="0" xfId="0" applyAlignment="1" applyBorder="1" applyFill="1" applyFont="1">
      <alignment horizontal="center" readingOrder="0" shrinkToFit="0" vertical="center" wrapText="1"/>
    </xf>
    <xf borderId="27" fillId="7" fontId="4" numFmtId="0" xfId="0" applyAlignment="1" applyBorder="1" applyFill="1" applyFont="1">
      <alignment shrinkToFit="0" wrapText="1"/>
    </xf>
    <xf borderId="27" fillId="8" fontId="4" numFmtId="0" xfId="0" applyAlignment="1" applyBorder="1" applyFill="1" applyFont="1">
      <alignment shrinkToFit="0" wrapText="1"/>
    </xf>
    <xf borderId="27" fillId="9" fontId="4" numFmtId="0" xfId="0" applyAlignment="1" applyBorder="1" applyFill="1" applyFont="1">
      <alignment shrinkToFit="0" wrapText="1"/>
    </xf>
    <xf borderId="27" fillId="10" fontId="4" numFmtId="0" xfId="0" applyAlignment="1" applyBorder="1" applyFill="1" applyFont="1">
      <alignment shrinkToFit="0" wrapText="1"/>
    </xf>
    <xf borderId="27" fillId="11" fontId="4" numFmtId="0" xfId="0" applyAlignment="1" applyBorder="1" applyFill="1" applyFont="1">
      <alignment shrinkToFit="0" wrapText="1"/>
    </xf>
    <xf borderId="28" fillId="12" fontId="4" numFmtId="0" xfId="0" applyAlignment="1" applyBorder="1" applyFill="1" applyFont="1">
      <alignment shrinkToFit="0" wrapText="1"/>
    </xf>
    <xf borderId="29" fillId="0" fontId="9" numFmtId="0" xfId="0" applyAlignment="1" applyBorder="1" applyFont="1">
      <alignment horizontal="center" readingOrder="0" shrinkToFit="0" vertical="center" wrapText="1"/>
    </xf>
    <xf borderId="30" fillId="0" fontId="6" numFmtId="0" xfId="0" applyBorder="1" applyFont="1"/>
    <xf borderId="31" fillId="3" fontId="5" numFmtId="0" xfId="0" applyAlignment="1" applyBorder="1" applyFill="1" applyFont="1">
      <alignment horizontal="center" shrinkToFit="0" vertical="center" wrapText="1"/>
    </xf>
    <xf borderId="32" fillId="4" fontId="5" numFmtId="165" xfId="0" applyAlignment="1" applyBorder="1" applyFill="1" applyFont="1" applyNumberFormat="1">
      <alignment horizontal="center" readingOrder="0" shrinkToFit="0" vertical="center" wrapText="1"/>
    </xf>
    <xf borderId="33" fillId="0" fontId="6" numFmtId="0" xfId="0" applyBorder="1" applyFont="1"/>
    <xf borderId="34" fillId="5" fontId="5" numFmtId="0" xfId="0" applyAlignment="1" applyBorder="1" applyFill="1" applyFont="1">
      <alignment horizontal="left" readingOrder="0" shrinkToFit="0" vertical="center" wrapText="1"/>
    </xf>
    <xf borderId="35" fillId="3" fontId="5" numFmtId="164" xfId="0" applyAlignment="1" applyBorder="1" applyFill="1" applyFont="1" applyNumberFormat="1">
      <alignment horizontal="center" shrinkToFit="0" vertical="center" wrapText="1"/>
    </xf>
    <xf borderId="36" fillId="0" fontId="2" numFmtId="2" xfId="0" applyAlignment="1" applyBorder="1" applyFont="1" applyNumberFormat="1">
      <alignment horizontal="center" shrinkToFit="0" vertical="center" wrapText="1"/>
    </xf>
    <xf borderId="37" fillId="0" fontId="6" numFmtId="0" xfId="0" applyBorder="1" applyFont="1"/>
    <xf borderId="38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readingOrder="0" shrinkToFit="0" vertical="center" wrapText="1"/>
    </xf>
    <xf borderId="35" fillId="3" fontId="5" numFmtId="1" xfId="0" applyAlignment="1" applyBorder="1" applyFill="1" applyFont="1" applyNumberFormat="1">
      <alignment horizontal="center" shrinkToFit="0" vertical="center" wrapText="1"/>
    </xf>
    <xf borderId="38" fillId="0" fontId="2" numFmtId="1" xfId="0" applyAlignment="1" applyBorder="1" applyFont="1" applyNumberFormat="1">
      <alignment horizontal="center" shrinkToFit="0" vertical="center" wrapText="1"/>
    </xf>
    <xf borderId="39" fillId="3" fontId="4" numFmtId="0" xfId="0" applyAlignment="1" applyBorder="1" applyFill="1" applyFont="1">
      <alignment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1" fillId="0" fontId="6" numFmtId="0" xfId="0" applyBorder="1" applyFont="1"/>
    <xf borderId="42" fillId="0" fontId="6" numFmtId="0" xfId="0" applyBorder="1" applyFont="1"/>
    <xf borderId="43" fillId="0" fontId="6" numFmtId="0" xfId="0" applyBorder="1" applyFont="1"/>
    <xf borderId="44" fillId="0" fontId="4" numFmtId="0" xfId="0" applyAlignment="1" applyBorder="1" applyFont="1">
      <alignment shrinkToFit="0" wrapText="1"/>
    </xf>
    <xf borderId="45" fillId="2" fontId="5" numFmtId="0" xfId="0" applyAlignment="1" applyBorder="1" applyFill="1" applyFont="1">
      <alignment horizontal="center" shrinkToFit="0" vertical="center" wrapText="1"/>
    </xf>
    <xf borderId="46" fillId="2" fontId="5" numFmtId="0" xfId="0" applyAlignment="1" applyBorder="1" applyFill="1" applyFont="1">
      <alignment horizontal="center" shrinkToFit="0" vertical="center" wrapText="1"/>
    </xf>
    <xf borderId="47" fillId="2" fontId="5" numFmtId="0" xfId="0" applyAlignment="1" applyBorder="1" applyFill="1" applyFont="1">
      <alignment horizontal="center" readingOrder="0" vertical="center"/>
    </xf>
    <xf borderId="48" fillId="4" fontId="5" numFmtId="165" xfId="0" applyAlignment="1" applyBorder="1" applyFill="1" applyFont="1" applyNumberFormat="1">
      <alignment horizontal="center" shrinkToFit="0" vertical="center" wrapText="1"/>
    </xf>
    <xf borderId="49" fillId="2" fontId="5" numFmtId="0" xfId="0" applyAlignment="1" applyBorder="1" applyFill="1" applyFont="1">
      <alignment horizontal="center" readingOrder="0" vertical="center"/>
    </xf>
    <xf borderId="50" fillId="5" fontId="5" numFmtId="0" xfId="0" applyAlignment="1" applyBorder="1" applyFill="1" applyFont="1">
      <alignment horizontal="left" readingOrder="0" shrinkToFit="0" vertical="center" wrapText="1"/>
    </xf>
    <xf borderId="51" fillId="0" fontId="2" numFmtId="2" xfId="0" applyAlignment="1" applyBorder="1" applyFont="1" applyNumberFormat="1">
      <alignment horizontal="center" shrinkToFit="0" vertical="center" wrapText="1"/>
    </xf>
    <xf borderId="52" fillId="2" fontId="5" numFmtId="0" xfId="0" applyAlignment="1" applyBorder="1" applyFill="1" applyFont="1">
      <alignment horizontal="center" readingOrder="0" vertical="center"/>
    </xf>
    <xf borderId="53" fillId="0" fontId="2" numFmtId="0" xfId="0" applyAlignment="1" applyBorder="1" applyFont="1">
      <alignment horizontal="center" shrinkToFit="0" vertical="center" wrapText="1"/>
    </xf>
    <xf borderId="26" fillId="5" fontId="3" numFmtId="0" xfId="0" applyAlignment="1" applyBorder="1" applyFill="1" applyFont="1">
      <alignment horizontal="center" readingOrder="0" shrinkToFit="0" vertical="center" wrapText="1"/>
    </xf>
    <xf borderId="53" fillId="0" fontId="2" numFmtId="0" xfId="0" applyAlignment="1" applyBorder="1" applyFont="1">
      <alignment horizontal="center" readingOrder="0" shrinkToFit="0" vertical="center" wrapText="1"/>
    </xf>
    <xf borderId="46" fillId="2" fontId="5" numFmtId="164" xfId="0" applyAlignment="1" applyBorder="1" applyFill="1" applyFont="1" applyNumberFormat="1">
      <alignment horizontal="center" shrinkToFit="0" wrapText="1"/>
    </xf>
    <xf borderId="54" fillId="5" fontId="2" numFmtId="0" xfId="0" applyAlignment="1" applyBorder="1" applyFill="1" applyFont="1">
      <alignment horizontal="center" vertical="center"/>
    </xf>
    <xf borderId="53" fillId="0" fontId="2" numFmtId="1" xfId="0" applyAlignment="1" applyBorder="1" applyFont="1" applyNumberFormat="1">
      <alignment horizontal="center" shrinkToFit="0" vertical="center" wrapText="1"/>
    </xf>
    <xf borderId="55" fillId="0" fontId="6" numFmtId="0" xfId="0" applyBorder="1" applyFont="1"/>
    <xf borderId="56" fillId="0" fontId="2" numFmtId="0" xfId="0" applyAlignment="1" applyBorder="1" applyFont="1">
      <alignment horizontal="center" vertical="center"/>
    </xf>
    <xf borderId="46" fillId="5" fontId="5" numFmtId="1" xfId="0" applyAlignment="1" applyBorder="1" applyFill="1" applyFont="1" applyNumberFormat="1">
      <alignment horizontal="center" shrinkToFit="0" wrapText="1"/>
    </xf>
    <xf borderId="57" fillId="13" fontId="2" numFmtId="0" xfId="0" applyAlignment="1" applyBorder="1" applyFill="1" applyFont="1">
      <alignment horizontal="center" vertical="center"/>
    </xf>
    <xf borderId="58" fillId="0" fontId="2" numFmtId="0" xfId="0" applyAlignment="1" applyBorder="1" applyFont="1">
      <alignment horizontal="center" shrinkToFit="0" vertical="center" wrapText="1"/>
    </xf>
    <xf borderId="59" fillId="2" fontId="5" numFmtId="0" xfId="0" applyAlignment="1" applyBorder="1" applyFill="1" applyFont="1">
      <alignment horizontal="center" shrinkToFit="0" vertical="center" wrapText="1"/>
    </xf>
    <xf borderId="60" fillId="4" fontId="10" numFmtId="0" xfId="0" applyAlignment="1" applyBorder="1" applyFill="1" applyFont="1">
      <alignment horizontal="center" readingOrder="0" vertical="center"/>
    </xf>
    <xf borderId="61" fillId="0" fontId="6" numFmtId="0" xfId="0" applyBorder="1" applyFont="1"/>
    <xf borderId="62" fillId="0" fontId="6" numFmtId="0" xfId="0" applyBorder="1" applyFont="1"/>
    <xf borderId="38" fillId="0" fontId="11" numFmtId="166" xfId="0" applyAlignment="1" applyBorder="1" applyFont="1" applyNumberFormat="1">
      <alignment horizontal="center" readingOrder="0" vertical="center"/>
    </xf>
    <xf borderId="63" fillId="2" fontId="5" numFmtId="0" xfId="0" applyAlignment="1" applyBorder="1" applyFill="1" applyFont="1">
      <alignment horizontal="center" shrinkToFit="0" vertical="center" wrapText="1"/>
    </xf>
    <xf borderId="64" fillId="0" fontId="11" numFmtId="0" xfId="0" applyAlignment="1" applyBorder="1" applyFont="1">
      <alignment horizontal="center" readingOrder="0" vertical="center"/>
    </xf>
    <xf borderId="65" fillId="0" fontId="4" numFmtId="0" xfId="0" applyAlignment="1" applyBorder="1" applyFont="1">
      <alignment horizontal="right" shrinkToFit="0" wrapText="1"/>
    </xf>
    <xf borderId="64" fillId="0" fontId="12" numFmtId="0" xfId="0" applyAlignment="1" applyBorder="1" applyFont="1">
      <alignment horizontal="center" readingOrder="0" vertical="center"/>
    </xf>
    <xf borderId="66" fillId="14" fontId="4" numFmtId="0" xfId="0" applyAlignment="1" applyBorder="1" applyFill="1" applyFont="1">
      <alignment horizontal="right" shrinkToFit="0" wrapText="1"/>
    </xf>
    <xf borderId="64" fillId="0" fontId="13" numFmtId="0" xfId="0" applyAlignment="1" applyBorder="1" applyFont="1">
      <alignment vertical="center"/>
    </xf>
    <xf borderId="66" fillId="7" fontId="4" numFmtId="0" xfId="0" applyAlignment="1" applyBorder="1" applyFill="1" applyFont="1">
      <alignment horizontal="right" shrinkToFit="0" wrapText="1"/>
    </xf>
    <xf borderId="66" fillId="15" fontId="4" numFmtId="0" xfId="0" applyAlignment="1" applyBorder="1" applyFill="1" applyFont="1">
      <alignment horizontal="right" shrinkToFit="0" wrapText="1"/>
    </xf>
    <xf borderId="66" fillId="16" fontId="4" numFmtId="0" xfId="0" applyAlignment="1" applyBorder="1" applyFill="1" applyFont="1">
      <alignment horizontal="right" shrinkToFit="0" wrapText="1"/>
    </xf>
    <xf borderId="64" fillId="0" fontId="11" numFmtId="0" xfId="0" applyAlignment="1" applyBorder="1" applyFont="1">
      <alignment horizontal="center" vertical="center"/>
    </xf>
    <xf borderId="53" fillId="0" fontId="2" numFmtId="1" xfId="0" applyAlignment="1" applyBorder="1" applyFont="1" applyNumberFormat="1">
      <alignment horizontal="center" readingOrder="0" shrinkToFit="0" vertical="center" wrapText="1"/>
    </xf>
    <xf borderId="66" fillId="17" fontId="4" numFmtId="0" xfId="0" applyAlignment="1" applyBorder="1" applyFill="1" applyFont="1">
      <alignment horizontal="right" shrinkToFit="0" wrapText="1"/>
    </xf>
    <xf borderId="67" fillId="0" fontId="11" numFmtId="0" xfId="0" applyAlignment="1" applyBorder="1" applyFont="1">
      <alignment horizontal="center" vertical="center"/>
    </xf>
    <xf borderId="68" fillId="18" fontId="4" numFmtId="0" xfId="0" applyAlignment="1" applyBorder="1" applyFill="1" applyFont="1">
      <alignment horizontal="right" shrinkToFit="0" wrapText="1"/>
    </xf>
    <xf borderId="69" fillId="5" fontId="2" numFmtId="0" xfId="0" applyAlignment="1" applyBorder="1" applyFill="1" applyFont="1">
      <alignment horizontal="center" vertical="center"/>
    </xf>
    <xf borderId="70" fillId="0" fontId="2" numFmtId="0" xfId="0" applyAlignment="1" applyBorder="1" applyFont="1">
      <alignment horizontal="center" vertical="center"/>
    </xf>
    <xf borderId="71" fillId="5" fontId="5" numFmtId="0" xfId="0" applyAlignment="1" applyBorder="1" applyFill="1" applyFont="1">
      <alignment horizontal="left" readingOrder="0" shrinkToFit="0" vertical="center" wrapText="1"/>
    </xf>
    <xf borderId="72" fillId="13" fontId="2" numFmtId="0" xfId="0" applyAlignment="1" applyBorder="1" applyFill="1" applyFont="1">
      <alignment horizontal="center" vertical="center"/>
    </xf>
    <xf borderId="73" fillId="0" fontId="2" numFmtId="2" xfId="0" applyAlignment="1" applyBorder="1" applyFont="1" applyNumberFormat="1">
      <alignment horizontal="center" readingOrder="0" shrinkToFit="0" vertical="center" wrapText="1"/>
    </xf>
    <xf borderId="74" fillId="4" fontId="5" numFmtId="0" xfId="0" applyAlignment="1" applyBorder="1" applyFill="1" applyFont="1">
      <alignment horizontal="center" shrinkToFit="0" vertical="center" wrapText="1"/>
    </xf>
    <xf borderId="75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vertical="center"/>
    </xf>
    <xf borderId="75" fillId="0" fontId="2" numFmtId="1" xfId="0" applyAlignment="1" applyBorder="1" applyFont="1" applyNumberFormat="1">
      <alignment horizontal="center" readingOrder="0" shrinkToFit="0" vertical="center" wrapText="1"/>
    </xf>
    <xf borderId="76" fillId="0" fontId="2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readingOrder="0" shrinkToFit="0" vertical="center" wrapText="1"/>
    </xf>
    <xf borderId="77" fillId="0" fontId="6" numFmtId="0" xfId="0" applyBorder="1" applyFont="1"/>
    <xf borderId="35" fillId="19" fontId="14" numFmtId="164" xfId="0" applyAlignment="1" applyBorder="1" applyFill="1" applyFont="1" applyNumberFormat="1">
      <alignment horizontal="center" shrinkToFit="0" wrapText="1"/>
    </xf>
    <xf borderId="78" fillId="2" fontId="5" numFmtId="0" xfId="0" applyAlignment="1" applyBorder="1" applyFill="1" applyFont="1">
      <alignment horizontal="center" readingOrder="0" shrinkToFit="0" vertical="center" wrapText="1"/>
    </xf>
    <xf borderId="79" fillId="0" fontId="6" numFmtId="0" xfId="0" applyBorder="1" applyFont="1"/>
    <xf borderId="80" fillId="2" fontId="5" numFmtId="2" xfId="0" applyAlignment="1" applyBorder="1" applyFill="1" applyFont="1" applyNumberFormat="1">
      <alignment horizontal="center" shrinkToFit="0" vertical="center" wrapText="1"/>
    </xf>
    <xf borderId="81" fillId="0" fontId="6" numFmtId="0" xfId="0" applyBorder="1" applyFont="1"/>
    <xf borderId="35" fillId="19" fontId="14" numFmtId="1" xfId="0" applyAlignment="1" applyBorder="1" applyFill="1" applyFont="1" applyNumberFormat="1">
      <alignment horizontal="center" shrinkToFit="0" wrapText="1"/>
    </xf>
    <xf borderId="80" fillId="2" fontId="5" numFmtId="0" xfId="0" applyAlignment="1" applyBorder="1" applyFill="1" applyFont="1">
      <alignment horizontal="center" shrinkToFit="0" vertical="center" wrapText="1"/>
    </xf>
    <xf borderId="80" fillId="2" fontId="5" numFmtId="1" xfId="0" applyAlignment="1" applyBorder="1" applyFill="1" applyFont="1" applyNumberFormat="1">
      <alignment horizontal="center" shrinkToFit="0" vertical="center" wrapText="1"/>
    </xf>
    <xf borderId="82" fillId="2" fontId="5" numFmtId="0" xfId="0" applyAlignment="1" applyBorder="1" applyFill="1" applyFont="1">
      <alignment horizontal="center" shrinkToFit="0" vertical="center" wrapText="1"/>
    </xf>
    <xf borderId="83" fillId="0" fontId="6" numFmtId="0" xfId="0" applyBorder="1" applyFont="1"/>
    <xf borderId="84" fillId="5" fontId="5" numFmtId="0" xfId="0" applyAlignment="1" applyBorder="1" applyFill="1" applyFont="1">
      <alignment horizontal="center" shrinkToFit="0" vertical="center" wrapText="1"/>
    </xf>
    <xf borderId="84" fillId="0" fontId="2" numFmtId="1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8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wrapText="1"/>
    </xf>
    <xf borderId="86" fillId="0" fontId="6" numFmtId="0" xfId="0" applyBorder="1" applyFont="1"/>
    <xf borderId="87" fillId="0" fontId="4" numFmtId="0" xfId="0" applyAlignment="1" applyBorder="1" applyFont="1">
      <alignment readingOrder="0" shrinkToFit="0" vertical="center" wrapText="1"/>
    </xf>
    <xf borderId="87" fillId="19" fontId="14" numFmtId="164" xfId="0" applyAlignment="1" applyBorder="1" applyFill="1" applyFont="1" applyNumberFormat="1">
      <alignment horizontal="center" shrinkToFit="0" wrapText="1"/>
    </xf>
    <xf borderId="87" fillId="19" fontId="14" numFmtId="1" xfId="0" applyAlignment="1" applyBorder="1" applyFill="1" applyFont="1" applyNumberFormat="1">
      <alignment horizontal="center" shrinkToFit="0" wrapText="1"/>
    </xf>
    <xf borderId="64" fillId="0" fontId="6" numFmtId="0" xfId="0" applyBorder="1" applyFont="1"/>
    <xf borderId="88" fillId="0" fontId="6" numFmtId="0" xfId="0" applyBorder="1" applyFont="1"/>
    <xf borderId="89" fillId="0" fontId="6" numFmtId="0" xfId="0" applyBorder="1" applyFont="1"/>
    <xf borderId="90" fillId="2" fontId="5" numFmtId="0" xfId="0" applyAlignment="1" applyBorder="1" applyFill="1" applyFont="1">
      <alignment horizontal="center" shrinkToFit="0" vertical="center" wrapText="1"/>
    </xf>
    <xf borderId="91" fillId="2" fontId="5" numFmtId="0" xfId="0" applyAlignment="1" applyBorder="1" applyFill="1" applyFont="1">
      <alignment horizontal="center" shrinkToFit="0" vertical="center" wrapText="1"/>
    </xf>
    <xf borderId="92" fillId="0" fontId="4" numFmtId="0" xfId="0" applyAlignment="1" applyBorder="1" applyFont="1">
      <alignment shrinkToFit="0" wrapText="1"/>
    </xf>
    <xf borderId="87" fillId="0" fontId="4" numFmtId="0" xfId="0" applyAlignment="1" applyBorder="1" applyFont="1">
      <alignment shrinkToFit="0" vertical="center" wrapText="1"/>
    </xf>
    <xf borderId="93" fillId="5" fontId="5" numFmtId="0" xfId="0" applyAlignment="1" applyBorder="1" applyFill="1" applyFont="1">
      <alignment horizontal="center" shrinkToFit="0" vertical="center" wrapText="1"/>
    </xf>
    <xf borderId="93" fillId="0" fontId="2" numFmtId="1" xfId="0" applyAlignment="1" applyBorder="1" applyFont="1" applyNumberFormat="1">
      <alignment horizontal="center" shrinkToFit="0" vertical="center" wrapText="1"/>
    </xf>
    <xf borderId="94" fillId="0" fontId="6" numFmtId="0" xfId="0" applyBorder="1" applyFont="1"/>
    <xf borderId="95" fillId="0" fontId="6" numFmtId="0" xfId="0" applyBorder="1" applyFont="1"/>
    <xf borderId="96" fillId="5" fontId="5" numFmtId="0" xfId="0" applyAlignment="1" applyBorder="1" applyFill="1" applyFont="1">
      <alignment horizontal="center" shrinkToFit="0" vertical="center" wrapText="1"/>
    </xf>
    <xf borderId="97" fillId="0" fontId="2" numFmtId="3" xfId="0" applyAlignment="1" applyBorder="1" applyFont="1" applyNumberFormat="1">
      <alignment horizontal="center" shrinkToFit="0" vertical="center" wrapText="1"/>
    </xf>
    <xf borderId="89" fillId="0" fontId="2" numFmtId="3" xfId="0" applyAlignment="1" applyBorder="1" applyFont="1" applyNumberFormat="1">
      <alignment horizontal="center" shrinkToFit="0" vertical="center" wrapText="1"/>
    </xf>
    <xf borderId="73" fillId="0" fontId="2" numFmtId="2" xfId="0" applyAlignment="1" applyBorder="1" applyFont="1" applyNumberFormat="1">
      <alignment horizontal="center" shrinkToFit="0" vertical="center" wrapText="1"/>
    </xf>
    <xf borderId="75" fillId="0" fontId="2" numFmtId="1" xfId="0" applyAlignment="1" applyBorder="1" applyFont="1" applyNumberFormat="1">
      <alignment horizontal="center" shrinkToFit="0" vertical="center" wrapText="1"/>
    </xf>
    <xf borderId="98" fillId="0" fontId="6" numFmtId="0" xfId="0" applyBorder="1" applyFont="1"/>
    <xf borderId="99" fillId="4" fontId="10" numFmtId="0" xfId="0" applyAlignment="1" applyBorder="1" applyFill="1" applyFont="1">
      <alignment horizontal="center" readingOrder="0" vertical="center"/>
    </xf>
    <xf borderId="38" fillId="0" fontId="6" numFmtId="0" xfId="0" applyBorder="1" applyFont="1"/>
    <xf borderId="67" fillId="0" fontId="6" numFmtId="0" xfId="0" applyBorder="1" applyFont="1"/>
    <xf borderId="100" fillId="0" fontId="11" numFmtId="0" xfId="0" applyAlignment="1" applyBorder="1" applyFont="1">
      <alignment horizontal="center" readingOrder="0" vertical="center"/>
    </xf>
    <xf borderId="100" fillId="0" fontId="12" numFmtId="0" xfId="0" applyAlignment="1" applyBorder="1" applyFont="1">
      <alignment horizontal="center" readingOrder="0" vertical="center"/>
    </xf>
    <xf borderId="100" fillId="0" fontId="13" numFmtId="0" xfId="0" applyAlignment="1" applyBorder="1" applyFont="1">
      <alignment vertical="center"/>
    </xf>
    <xf borderId="100" fillId="0" fontId="11" numFmtId="0" xfId="0" applyAlignment="1" applyBorder="1" applyFont="1">
      <alignment horizontal="center" vertical="center"/>
    </xf>
    <xf borderId="101" fillId="0" fontId="11" numFmtId="0" xfId="0" applyAlignment="1" applyBorder="1" applyFont="1">
      <alignment horizontal="center" vertical="center"/>
    </xf>
    <xf borderId="27" fillId="0" fontId="1" numFmtId="0" xfId="0" applyBorder="1" applyFont="1"/>
    <xf borderId="102" fillId="5" fontId="5" numFmtId="0" xfId="0" applyAlignment="1" applyBorder="1" applyFill="1" applyFont="1">
      <alignment horizontal="center" shrinkToFit="0" vertical="center" wrapText="1"/>
    </xf>
    <xf borderId="75" fillId="0" fontId="2" numFmtId="3" xfId="0" applyAlignment="1" applyBorder="1" applyFont="1" applyNumberFormat="1">
      <alignment horizontal="center" shrinkToFit="0" vertical="center" wrapText="1"/>
    </xf>
    <xf borderId="103" fillId="0" fontId="2" numFmtId="3" xfId="0" applyAlignment="1" applyBorder="1" applyFont="1" applyNumberFormat="1">
      <alignment horizontal="center" shrinkToFit="0" vertical="center" wrapText="1"/>
    </xf>
    <xf borderId="104" fillId="0" fontId="6" numFmtId="0" xfId="0" applyBorder="1" applyFont="1"/>
    <xf borderId="46" fillId="0" fontId="4" numFmtId="0" xfId="0" applyAlignment="1" applyBorder="1" applyFont="1">
      <alignment shrinkToFit="0" vertical="center" wrapText="1"/>
    </xf>
    <xf borderId="46" fillId="19" fontId="14" numFmtId="164" xfId="0" applyAlignment="1" applyBorder="1" applyFill="1" applyFont="1" applyNumberFormat="1">
      <alignment horizontal="center" shrinkToFit="0" wrapText="1"/>
    </xf>
    <xf borderId="46" fillId="19" fontId="14" numFmtId="1" xfId="0" applyAlignment="1" applyBorder="1" applyFill="1" applyFont="1" applyNumberFormat="1">
      <alignment horizontal="center" shrinkToFit="0" wrapText="1"/>
    </xf>
    <xf borderId="100" fillId="0" fontId="6" numFmtId="0" xfId="0" applyBorder="1" applyFont="1"/>
    <xf borderId="101" fillId="0" fontId="6" numFmtId="0" xfId="0" applyBorder="1" applyFont="1"/>
    <xf borderId="35" fillId="0" fontId="4" numFmtId="0" xfId="0" applyAlignment="1" applyBorder="1" applyFont="1">
      <alignment shrinkToFit="0" vertical="center" wrapText="1"/>
    </xf>
    <xf borderId="105" fillId="0" fontId="6" numFmtId="0" xfId="0" applyBorder="1" applyFont="1"/>
    <xf borderId="13" fillId="0" fontId="4" numFmtId="0" xfId="0" applyAlignment="1" applyBorder="1" applyFont="1">
      <alignment shrinkToFit="0" wrapText="1"/>
    </xf>
    <xf borderId="106" fillId="20" fontId="5" numFmtId="0" xfId="0" applyAlignment="1" applyBorder="1" applyFill="1" applyFont="1">
      <alignment horizontal="center" shrinkToFit="0" vertical="center" wrapText="1"/>
    </xf>
    <xf borderId="107" fillId="0" fontId="6" numFmtId="0" xfId="0" applyBorder="1" applyFont="1"/>
    <xf borderId="108" fillId="0" fontId="6" numFmtId="0" xfId="0" applyBorder="1" applyFont="1"/>
    <xf borderId="109" fillId="0" fontId="6" numFmtId="0" xfId="0" applyBorder="1" applyFont="1"/>
    <xf borderId="110" fillId="21" fontId="5" numFmtId="0" xfId="0" applyAlignment="1" applyBorder="1" applyFill="1" applyFont="1">
      <alignment horizontal="center" shrinkToFit="0" vertical="center" wrapText="1"/>
    </xf>
    <xf borderId="107" fillId="22" fontId="2" numFmtId="3" xfId="0" applyAlignment="1" applyBorder="1" applyFill="1" applyFont="1" applyNumberFormat="1">
      <alignment horizontal="center" shrinkToFit="0" vertical="center" wrapText="1"/>
    </xf>
    <xf borderId="111" fillId="0" fontId="6" numFmtId="0" xfId="0" applyBorder="1" applyFont="1"/>
    <xf borderId="112" fillId="0" fontId="6" numFmtId="0" xfId="0" applyBorder="1" applyFont="1"/>
    <xf borderId="65" fillId="19" fontId="4" numFmtId="0" xfId="0" applyAlignment="1" applyBorder="1" applyFill="1" applyFont="1">
      <alignment horizontal="right" shrinkToFit="0" wrapText="1"/>
    </xf>
    <xf borderId="111" fillId="21" fontId="5" numFmtId="0" xfId="0" applyAlignment="1" applyBorder="1" applyFill="1" applyFont="1">
      <alignment horizontal="center" shrinkToFit="0" vertical="center" wrapText="1"/>
    </xf>
    <xf borderId="112" fillId="22" fontId="2" numFmtId="3" xfId="0" applyAlignment="1" applyBorder="1" applyFill="1" applyFont="1" applyNumberFormat="1">
      <alignment horizontal="center" shrinkToFit="0" vertical="center" wrapText="1"/>
    </xf>
    <xf borderId="113" fillId="0" fontId="6" numFmtId="0" xfId="0" applyBorder="1" applyFont="1"/>
    <xf borderId="114" fillId="0" fontId="4" numFmtId="0" xfId="0" applyAlignment="1" applyBorder="1" applyFont="1">
      <alignment shrinkToFit="0" wrapText="1"/>
    </xf>
    <xf borderId="115" fillId="0" fontId="4" numFmtId="0" xfId="0" applyAlignment="1" applyBorder="1" applyFont="1">
      <alignment shrinkToFit="0" wrapText="1"/>
    </xf>
    <xf borderId="116" fillId="19" fontId="4" numFmtId="0" xfId="0" applyAlignment="1" applyBorder="1" applyFill="1" applyFont="1">
      <alignment horizontal="right" shrinkToFit="0" wrapText="1"/>
    </xf>
    <xf borderId="117" fillId="14" fontId="4" numFmtId="0" xfId="0" applyAlignment="1" applyBorder="1" applyFill="1" applyFont="1">
      <alignment horizontal="right" shrinkToFit="0" wrapText="1"/>
    </xf>
    <xf borderId="117" fillId="7" fontId="4" numFmtId="0" xfId="0" applyAlignment="1" applyBorder="1" applyFill="1" applyFont="1">
      <alignment horizontal="right" shrinkToFit="0" wrapText="1"/>
    </xf>
    <xf borderId="117" fillId="15" fontId="4" numFmtId="0" xfId="0" applyAlignment="1" applyBorder="1" applyFill="1" applyFont="1">
      <alignment horizontal="right" shrinkToFit="0" wrapText="1"/>
    </xf>
    <xf borderId="117" fillId="16" fontId="4" numFmtId="0" xfId="0" applyAlignment="1" applyBorder="1" applyFill="1" applyFont="1">
      <alignment horizontal="right" shrinkToFit="0" wrapText="1"/>
    </xf>
    <xf borderId="117" fillId="17" fontId="4" numFmtId="0" xfId="0" applyAlignment="1" applyBorder="1" applyFill="1" applyFont="1">
      <alignment horizontal="right" shrinkToFit="0" wrapText="1"/>
    </xf>
    <xf borderId="118" fillId="18" fontId="4" numFmtId="0" xfId="0" applyAlignment="1" applyBorder="1" applyFill="1" applyFont="1">
      <alignment horizontal="right" shrinkToFit="0" wrapText="1"/>
    </xf>
    <xf borderId="10" fillId="0" fontId="4" numFmtId="0" xfId="0" applyAlignment="1" applyBorder="1" applyFont="1">
      <alignment shrinkToFit="0" wrapText="1"/>
    </xf>
    <xf borderId="10" fillId="0" fontId="4" numFmtId="164" xfId="0" applyAlignment="1" applyBorder="1" applyFont="1" applyNumberFormat="1">
      <alignment horizontal="center" shrinkToFit="0" wrapText="1"/>
    </xf>
    <xf borderId="10" fillId="0" fontId="4" numFmtId="1" xfId="0" applyAlignment="1" applyBorder="1" applyFont="1" applyNumberFormat="1">
      <alignment horizontal="center" shrinkToFit="0" wrapText="1"/>
    </xf>
    <xf borderId="10" fillId="0" fontId="4" numFmtId="1" xfId="0" applyAlignment="1" applyBorder="1" applyFont="1" applyNumberFormat="1">
      <alignment shrinkToFit="0" wrapText="1"/>
    </xf>
    <xf borderId="16" fillId="0" fontId="4" numFmtId="0" xfId="0" applyAlignment="1" applyBorder="1" applyFont="1">
      <alignment shrinkToFit="0" wrapText="1"/>
    </xf>
    <xf borderId="119" fillId="2" fontId="5" numFmtId="0" xfId="0" applyAlignment="1" applyBorder="1" applyFill="1" applyFont="1">
      <alignment horizontal="center" vertical="bottom"/>
    </xf>
    <xf borderId="120" fillId="0" fontId="6" numFmtId="0" xfId="0" applyBorder="1" applyFont="1"/>
    <xf borderId="91" fillId="0" fontId="6" numFmtId="0" xfId="0" applyBorder="1" applyFont="1"/>
    <xf borderId="121" fillId="19" fontId="4" numFmtId="0" xfId="0" applyAlignment="1" applyBorder="1" applyFill="1" applyFont="1">
      <alignment horizontal="right" shrinkToFit="0" wrapText="1"/>
    </xf>
    <xf borderId="122" fillId="14" fontId="4" numFmtId="0" xfId="0" applyAlignment="1" applyBorder="1" applyFill="1" applyFont="1">
      <alignment horizontal="right" shrinkToFit="0" wrapText="1"/>
    </xf>
    <xf borderId="122" fillId="7" fontId="4" numFmtId="0" xfId="0" applyAlignment="1" applyBorder="1" applyFill="1" applyFont="1">
      <alignment horizontal="right" shrinkToFit="0" wrapText="1"/>
    </xf>
    <xf borderId="122" fillId="15" fontId="4" numFmtId="0" xfId="0" applyAlignment="1" applyBorder="1" applyFill="1" applyFont="1">
      <alignment horizontal="right" shrinkToFit="0" wrapText="1"/>
    </xf>
    <xf borderId="122" fillId="16" fontId="4" numFmtId="0" xfId="0" applyAlignment="1" applyBorder="1" applyFill="1" applyFont="1">
      <alignment horizontal="right" shrinkToFit="0" wrapText="1"/>
    </xf>
    <xf borderId="122" fillId="17" fontId="4" numFmtId="0" xfId="0" applyAlignment="1" applyBorder="1" applyFill="1" applyFont="1">
      <alignment horizontal="right" shrinkToFit="0" wrapText="1"/>
    </xf>
    <xf borderId="123" fillId="18" fontId="4" numFmtId="0" xfId="0" applyAlignment="1" applyBorder="1" applyFill="1" applyFont="1">
      <alignment horizontal="right" shrinkToFit="0" wrapText="1"/>
    </xf>
    <xf borderId="6" fillId="0" fontId="4" numFmtId="164" xfId="0" applyAlignment="1" applyBorder="1" applyFont="1" applyNumberFormat="1">
      <alignment horizontal="center" shrinkToFit="0" wrapText="1"/>
    </xf>
    <xf borderId="6" fillId="0" fontId="4" numFmtId="1" xfId="0" applyAlignment="1" applyBorder="1" applyFont="1" applyNumberFormat="1">
      <alignment horizontal="center" shrinkToFit="0" wrapText="1"/>
    </xf>
    <xf borderId="6" fillId="0" fontId="4" numFmtId="1" xfId="0" applyAlignment="1" applyBorder="1" applyFont="1" applyNumberFormat="1">
      <alignment shrinkToFit="0" wrapText="1"/>
    </xf>
    <xf borderId="124" fillId="0" fontId="4" numFmtId="0" xfId="0" applyAlignment="1" applyBorder="1" applyFont="1">
      <alignment shrinkToFit="0" wrapText="1"/>
    </xf>
    <xf borderId="119" fillId="5" fontId="5" numFmtId="0" xfId="0" applyAlignment="1" applyBorder="1" applyFill="1" applyFont="1">
      <alignment shrinkToFit="0" vertical="bottom" wrapText="1"/>
    </xf>
    <xf borderId="120" fillId="19" fontId="2" numFmtId="0" xfId="0" applyAlignment="1" applyBorder="1" applyFill="1" applyFont="1">
      <alignment shrinkToFit="0" vertical="bottom" wrapText="1"/>
    </xf>
    <xf borderId="28" fillId="0" fontId="4" numFmtId="0" xfId="0" applyAlignment="1" applyBorder="1" applyFont="1">
      <alignment shrinkToFit="0" wrapText="1"/>
    </xf>
    <xf borderId="31" fillId="23" fontId="5" numFmtId="0" xfId="0" applyAlignment="1" applyBorder="1" applyFill="1" applyFont="1">
      <alignment horizontal="center" shrinkToFit="0" vertical="center" wrapText="1"/>
    </xf>
    <xf borderId="35" fillId="23" fontId="5" numFmtId="164" xfId="0" applyAlignment="1" applyBorder="1" applyFill="1" applyFont="1" applyNumberFormat="1">
      <alignment horizontal="center" shrinkToFit="0" vertical="center" wrapText="1"/>
    </xf>
    <xf borderId="35" fillId="23" fontId="5" numFmtId="1" xfId="0" applyAlignment="1" applyBorder="1" applyFill="1" applyFont="1" applyNumberFormat="1">
      <alignment horizontal="center" shrinkToFit="0" vertical="center" wrapText="1"/>
    </xf>
    <xf borderId="39" fillId="23" fontId="4" numFmtId="0" xfId="0" applyAlignment="1" applyBorder="1" applyFill="1" applyFont="1">
      <alignment shrinkToFit="0" vertical="center" wrapText="1"/>
    </xf>
    <xf borderId="125" fillId="0" fontId="4" numFmtId="0" xfId="0" applyAlignment="1" applyBorder="1" applyFont="1">
      <alignment shrinkToFit="0" wrapText="1"/>
    </xf>
    <xf borderId="126" fillId="0" fontId="6" numFmtId="0" xfId="0" applyBorder="1" applyFont="1"/>
    <xf borderId="127" fillId="0" fontId="6" numFmtId="0" xfId="0" applyBorder="1" applyFont="1"/>
    <xf borderId="0" fillId="19" fontId="2" numFmtId="0" xfId="0" applyAlignment="1" applyFill="1" applyFont="1">
      <alignment shrinkToFit="0" vertical="bottom" wrapText="1"/>
    </xf>
    <xf borderId="128" fillId="19" fontId="4" numFmtId="0" xfId="0" applyAlignment="1" applyBorder="1" applyFill="1" applyFont="1">
      <alignment horizontal="right" shrinkToFit="0" wrapText="1"/>
    </xf>
    <xf borderId="129" fillId="14" fontId="4" numFmtId="0" xfId="0" applyAlignment="1" applyBorder="1" applyFill="1" applyFont="1">
      <alignment horizontal="right" shrinkToFit="0" wrapText="1"/>
    </xf>
    <xf borderId="129" fillId="7" fontId="4" numFmtId="0" xfId="0" applyAlignment="1" applyBorder="1" applyFill="1" applyFont="1">
      <alignment horizontal="right" shrinkToFit="0" wrapText="1"/>
    </xf>
    <xf borderId="129" fillId="15" fontId="4" numFmtId="0" xfId="0" applyAlignment="1" applyBorder="1" applyFill="1" applyFont="1">
      <alignment horizontal="right" shrinkToFit="0" wrapText="1"/>
    </xf>
    <xf borderId="129" fillId="16" fontId="4" numFmtId="0" xfId="0" applyAlignment="1" applyBorder="1" applyFill="1" applyFont="1">
      <alignment horizontal="right" shrinkToFit="0" wrapText="1"/>
    </xf>
    <xf borderId="129" fillId="17" fontId="4" numFmtId="0" xfId="0" applyAlignment="1" applyBorder="1" applyFill="1" applyFont="1">
      <alignment horizontal="right" shrinkToFit="0" wrapText="1"/>
    </xf>
    <xf borderId="130" fillId="18" fontId="4" numFmtId="0" xfId="0" applyAlignment="1" applyBorder="1" applyFill="1" applyFont="1">
      <alignment horizontal="right" shrinkToFit="0" wrapText="1"/>
    </xf>
    <xf borderId="86" fillId="2" fontId="5" numFmtId="0" xfId="0" applyAlignment="1" applyBorder="1" applyFill="1" applyFont="1">
      <alignment horizontal="center" shrinkToFit="0" vertical="center" wrapText="1"/>
    </xf>
    <xf borderId="97" fillId="2" fontId="5" numFmtId="0" xfId="0" applyAlignment="1" applyBorder="1" applyFill="1" applyFont="1">
      <alignment horizontal="center" shrinkToFit="0" vertical="center" wrapText="1"/>
    </xf>
    <xf borderId="88" fillId="2" fontId="5" numFmtId="164" xfId="0" applyAlignment="1" applyBorder="1" applyFill="1" applyFont="1" applyNumberFormat="1">
      <alignment horizontal="center" shrinkToFit="0" wrapText="1"/>
    </xf>
    <xf borderId="88" fillId="5" fontId="5" numFmtId="1" xfId="0" applyAlignment="1" applyBorder="1" applyFill="1" applyFont="1" applyNumberFormat="1">
      <alignment horizontal="center" shrinkToFit="0" wrapText="1"/>
    </xf>
    <xf borderId="131" fillId="2" fontId="5" numFmtId="0" xfId="0" applyAlignment="1" applyBorder="1" applyFill="1" applyFont="1">
      <alignment horizontal="center" shrinkToFit="0" vertical="center" wrapText="1"/>
    </xf>
    <xf borderId="89" fillId="2" fontId="5" numFmtId="0" xfId="0" applyAlignment="1" applyBorder="1" applyFill="1" applyFont="1">
      <alignment horizontal="center" shrinkToFit="0" vertical="center" wrapText="1"/>
    </xf>
    <xf borderId="0" fillId="19" fontId="2" numFmtId="0" xfId="0" applyAlignment="1" applyFill="1" applyFont="1">
      <alignment readingOrder="0" shrinkToFit="0" vertical="bottom" wrapText="1"/>
    </xf>
    <xf borderId="132" fillId="0" fontId="6" numFmtId="0" xfId="0" applyBorder="1" applyFont="1"/>
    <xf borderId="133" fillId="0" fontId="6" numFmtId="0" xfId="0" applyBorder="1" applyFont="1"/>
    <xf borderId="133" fillId="19" fontId="2" numFmtId="0" xfId="0" applyAlignment="1" applyBorder="1" applyFill="1" applyFont="1">
      <alignment shrinkToFit="0" vertical="bottom" wrapText="1"/>
    </xf>
    <xf borderId="35" fillId="19" fontId="4" numFmtId="164" xfId="0" applyAlignment="1" applyBorder="1" applyFill="1" applyFont="1" applyNumberFormat="1">
      <alignment horizontal="center" shrinkToFit="0" wrapText="1"/>
    </xf>
    <xf borderId="35" fillId="19" fontId="4" numFmtId="1" xfId="0" applyAlignment="1" applyBorder="1" applyFill="1" applyFont="1" applyNumberFormat="1">
      <alignment horizontal="center" shrinkToFit="0" wrapText="1"/>
    </xf>
    <xf borderId="9" fillId="5" fontId="5" numFmtId="0" xfId="0" applyAlignment="1" applyBorder="1" applyFill="1" applyFont="1">
      <alignment shrinkToFit="0" vertical="bottom" wrapText="1"/>
    </xf>
    <xf borderId="11" fillId="19" fontId="2" numFmtId="0" xfId="0" applyAlignment="1" applyBorder="1" applyFill="1" applyFont="1">
      <alignment shrinkToFit="0" vertical="bottom" wrapText="1"/>
    </xf>
    <xf borderId="87" fillId="19" fontId="4" numFmtId="164" xfId="0" applyAlignment="1" applyBorder="1" applyFill="1" applyFont="1" applyNumberFormat="1">
      <alignment horizontal="center" shrinkToFit="0" wrapText="1"/>
    </xf>
    <xf borderId="87" fillId="19" fontId="4" numFmtId="1" xfId="0" applyAlignment="1" applyBorder="1" applyFill="1" applyFont="1" applyNumberFormat="1">
      <alignment horizontal="center" shrinkToFit="0" wrapText="1"/>
    </xf>
    <xf borderId="46" fillId="19" fontId="4" numFmtId="164" xfId="0" applyAlignment="1" applyBorder="1" applyFill="1" applyFont="1" applyNumberFormat="1">
      <alignment horizontal="center" shrinkToFit="0" wrapText="1"/>
    </xf>
    <xf borderId="46" fillId="19" fontId="4" numFmtId="1" xfId="0" applyAlignment="1" applyBorder="1" applyFill="1" applyFont="1" applyNumberFormat="1">
      <alignment horizontal="center" shrinkToFit="0" wrapText="1"/>
    </xf>
    <xf borderId="65" fillId="0" fontId="15" numFmtId="0" xfId="0" applyAlignment="1" applyBorder="1" applyFont="1">
      <alignment horizontal="right" shrinkToFit="0" wrapText="1"/>
    </xf>
    <xf borderId="66" fillId="0" fontId="15" numFmtId="0" xfId="0" applyAlignment="1" applyBorder="1" applyFont="1">
      <alignment horizontal="right" shrinkToFit="0" wrapText="1"/>
    </xf>
    <xf borderId="68" fillId="0" fontId="15" numFmtId="0" xfId="0" applyAlignment="1" applyBorder="1" applyFont="1">
      <alignment horizontal="right" shrinkToFit="0" wrapText="1"/>
    </xf>
    <xf borderId="65" fillId="0" fontId="16" numFmtId="0" xfId="0" applyAlignment="1" applyBorder="1" applyFont="1">
      <alignment horizontal="right" shrinkToFit="0" vertical="bottom" wrapText="1"/>
    </xf>
    <xf borderId="66" fillId="0" fontId="16" numFmtId="0" xfId="0" applyAlignment="1" applyBorder="1" applyFont="1">
      <alignment horizontal="right" shrinkToFit="0" vertical="bottom" wrapText="1"/>
    </xf>
    <xf borderId="68" fillId="0" fontId="16" numFmtId="0" xfId="0" applyAlignment="1" applyBorder="1" applyFont="1">
      <alignment horizontal="right" shrinkToFit="0" vertical="bottom" wrapText="1"/>
    </xf>
    <xf borderId="75" fillId="0" fontId="2" numFmtId="0" xfId="0" applyAlignment="1" applyBorder="1" applyFont="1">
      <alignment horizontal="center" readingOrder="0" shrinkToFit="0" vertical="center" wrapText="1"/>
    </xf>
    <xf borderId="116" fillId="0" fontId="15" numFmtId="0" xfId="0" applyAlignment="1" applyBorder="1" applyFont="1">
      <alignment horizontal="right" shrinkToFit="0" vertical="bottom" wrapText="1"/>
    </xf>
    <xf borderId="117" fillId="0" fontId="15" numFmtId="0" xfId="0" applyAlignment="1" applyBorder="1" applyFont="1">
      <alignment horizontal="right" shrinkToFit="0" vertical="bottom" wrapText="1"/>
    </xf>
    <xf borderId="118" fillId="0" fontId="15" numFmtId="0" xfId="0" applyAlignment="1" applyBorder="1" applyFont="1">
      <alignment horizontal="right" shrinkToFit="0" vertical="bottom" wrapText="1"/>
    </xf>
    <xf borderId="7" fillId="0" fontId="15" numFmtId="0" xfId="0" applyAlignment="1" applyBorder="1" applyFont="1">
      <alignment horizontal="right" shrinkToFit="0" vertical="bottom" wrapText="1"/>
    </xf>
    <xf borderId="13" fillId="19" fontId="4" numFmtId="0" xfId="0" applyAlignment="1" applyBorder="1" applyFill="1" applyFont="1">
      <alignment shrinkToFit="0" wrapText="1"/>
    </xf>
    <xf borderId="13" fillId="19" fontId="4" numFmtId="164" xfId="0" applyAlignment="1" applyBorder="1" applyFill="1" applyFont="1" applyNumberFormat="1">
      <alignment horizontal="center" shrinkToFit="0" wrapText="1"/>
    </xf>
    <xf borderId="13" fillId="19" fontId="4" numFmtId="1" xfId="0" applyAlignment="1" applyBorder="1" applyFill="1" applyFont="1" applyNumberFormat="1">
      <alignment horizontal="center" shrinkToFit="0" wrapText="1"/>
    </xf>
    <xf borderId="13" fillId="0" fontId="4" numFmtId="1" xfId="0" applyAlignment="1" applyBorder="1" applyFont="1" applyNumberFormat="1">
      <alignment horizontal="center" shrinkToFit="0" wrapText="1"/>
    </xf>
    <xf borderId="13" fillId="0" fontId="4" numFmtId="1" xfId="0" applyAlignment="1" applyBorder="1" applyFont="1" applyNumberFormat="1">
      <alignment shrinkToFit="0" wrapText="1"/>
    </xf>
    <xf borderId="134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readingOrder="0" shrinkToFit="0" wrapText="1"/>
    </xf>
    <xf borderId="7" fillId="19" fontId="4" numFmtId="0" xfId="0" applyAlignment="1" applyBorder="1" applyFill="1" applyFont="1">
      <alignment shrinkToFit="0" wrapText="1"/>
    </xf>
    <xf borderId="7" fillId="19" fontId="4" numFmtId="164" xfId="0" applyAlignment="1" applyBorder="1" applyFill="1" applyFont="1" applyNumberFormat="1">
      <alignment horizontal="center" shrinkToFit="0" wrapText="1"/>
    </xf>
    <xf borderId="7" fillId="19" fontId="4" numFmtId="1" xfId="0" applyAlignment="1" applyBorder="1" applyFill="1" applyFont="1" applyNumberFormat="1">
      <alignment horizontal="center" shrinkToFit="0" wrapText="1"/>
    </xf>
    <xf borderId="7" fillId="0" fontId="4" numFmtId="1" xfId="0" applyAlignment="1" applyBorder="1" applyFont="1" applyNumberFormat="1">
      <alignment horizontal="center" shrinkToFit="0" wrapText="1"/>
    </xf>
    <xf borderId="7" fillId="0" fontId="4" numFmtId="1" xfId="0" applyAlignment="1" applyBorder="1" applyFont="1" applyNumberFormat="1">
      <alignment shrinkToFit="0" wrapText="1"/>
    </xf>
    <xf borderId="7" fillId="0" fontId="1" numFmtId="0" xfId="0" applyAlignment="1" applyBorder="1" applyFont="1">
      <alignment readingOrder="0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horizontal="right" vertical="bottom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horizontal="right" vertical="bottom"/>
    </xf>
    <xf borderId="7" fillId="0" fontId="15" numFmtId="0" xfId="0" applyAlignment="1" applyBorder="1" applyFont="1">
      <alignment horizontal="right" vertical="bottom"/>
    </xf>
    <xf borderId="7" fillId="0" fontId="17" numFmtId="0" xfId="0" applyAlignment="1" applyBorder="1" applyFont="1">
      <alignment readingOrder="0"/>
    </xf>
    <xf borderId="7" fillId="0" fontId="1" numFmtId="0" xfId="0" applyBorder="1" applyFont="1"/>
    <xf borderId="7" fillId="0" fontId="4" numFmtId="164" xfId="0" applyAlignment="1" applyBorder="1" applyFont="1" applyNumberFormat="1">
      <alignment horizontal="center" shrinkToFit="0" wrapText="1"/>
    </xf>
    <xf borderId="7" fillId="0" fontId="18" numFmtId="164" xfId="0" applyAlignment="1" applyBorder="1" applyFont="1" applyNumberFormat="1">
      <alignment horizontal="center"/>
    </xf>
    <xf borderId="7" fillId="0" fontId="18" numFmtId="1" xfId="0" applyAlignment="1" applyBorder="1" applyFont="1" applyNumberFormat="1">
      <alignment horizontal="center"/>
    </xf>
    <xf borderId="7" fillId="0" fontId="18" numFmtId="1" xfId="0" applyBorder="1" applyFont="1" applyNumberFormat="1"/>
    <xf borderId="124" fillId="0" fontId="1" numFmtId="0" xfId="0" applyBorder="1" applyFont="1"/>
    <xf borderId="134" fillId="0" fontId="1" numFmtId="0" xfId="0" applyBorder="1" applyFont="1"/>
    <xf borderId="1" fillId="19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90" fillId="4" fontId="19" numFmtId="0" xfId="0" applyAlignment="1" applyBorder="1" applyFill="1" applyFont="1">
      <alignment horizontal="center" readingOrder="0" shrinkToFit="0" textRotation="9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  <xf borderId="135" fillId="2" fontId="5" numFmtId="0" xfId="0" applyAlignment="1" applyBorder="1" applyFill="1" applyFont="1">
      <alignment horizontal="center" readingOrder="0" shrinkToFit="0" vertical="center" wrapText="1"/>
    </xf>
    <xf borderId="25" fillId="0" fontId="6" numFmtId="0" xfId="0" applyBorder="1" applyFont="1"/>
    <xf borderId="20" fillId="2" fontId="5" numFmtId="0" xfId="0" applyAlignment="1" applyBorder="1" applyFill="1" applyFont="1">
      <alignment horizontal="center" readingOrder="0" shrinkToFit="0" vertical="center" wrapText="1"/>
    </xf>
    <xf borderId="9" fillId="4" fontId="20" numFmtId="0" xfId="0" applyAlignment="1" applyBorder="1" applyFill="1" applyFont="1">
      <alignment horizontal="center" readingOrder="0" shrinkToFit="0" vertical="center" wrapText="1"/>
    </xf>
    <xf borderId="3" fillId="19" fontId="1" numFmtId="0" xfId="0" applyAlignment="1" applyBorder="1" applyFill="1" applyFont="1">
      <alignment horizontal="center" shrinkToFit="0" vertical="center" wrapText="1"/>
    </xf>
    <xf borderId="96" fillId="0" fontId="6" numFmtId="0" xfId="0" applyBorder="1" applyFont="1"/>
    <xf borderId="136" fillId="0" fontId="6" numFmtId="0" xfId="0" applyBorder="1" applyFont="1"/>
    <xf borderId="137" fillId="0" fontId="6" numFmtId="0" xfId="0" applyBorder="1" applyFont="1"/>
    <xf borderId="138" fillId="0" fontId="6" numFmtId="0" xfId="0" applyBorder="1" applyFont="1"/>
    <xf borderId="139" fillId="0" fontId="6" numFmtId="0" xfId="0" applyBorder="1" applyFont="1"/>
    <xf borderId="44" fillId="0" fontId="1" numFmtId="0" xfId="0" applyAlignment="1" applyBorder="1" applyFont="1">
      <alignment horizontal="center" shrinkToFit="0" vertical="center" wrapText="1"/>
    </xf>
    <xf borderId="140" fillId="2" fontId="5" numFmtId="0" xfId="0" applyAlignment="1" applyBorder="1" applyFill="1" applyFont="1">
      <alignment horizontal="center" readingOrder="0" shrinkToFit="0" vertical="center" wrapText="1"/>
    </xf>
    <xf borderId="141" fillId="2" fontId="5" numFmtId="0" xfId="0" applyAlignment="1" applyBorder="1" applyFill="1" applyFont="1">
      <alignment horizontal="center" readingOrder="0" shrinkToFit="0" vertical="center" wrapText="1"/>
    </xf>
    <xf borderId="142" fillId="2" fontId="5" numFmtId="0" xfId="0" applyAlignment="1" applyBorder="1" applyFill="1" applyFont="1">
      <alignment horizontal="center" readingOrder="0" shrinkToFit="0" vertical="center" wrapText="1"/>
    </xf>
    <xf borderId="14" fillId="19" fontId="5" numFmtId="0" xfId="0" applyAlignment="1" applyBorder="1" applyFill="1" applyFont="1">
      <alignment horizontal="center" readingOrder="0" shrinkToFit="0" vertical="center" wrapText="1"/>
    </xf>
    <xf borderId="44" fillId="19" fontId="5" numFmtId="0" xfId="0" applyAlignment="1" applyBorder="1" applyFill="1" applyFont="1">
      <alignment horizontal="center" readingOrder="0" shrinkToFit="0" vertical="center" wrapText="1"/>
    </xf>
    <xf borderId="44" fillId="24" fontId="5" numFmtId="0" xfId="0" applyAlignment="1" applyBorder="1" applyFill="1" applyFont="1">
      <alignment horizontal="center" readingOrder="0" shrinkToFit="0" vertical="center" wrapText="1"/>
    </xf>
    <xf borderId="143" fillId="2" fontId="5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27" fillId="0" fontId="21" numFmtId="0" xfId="0" applyAlignment="1" applyBorder="1" applyFont="1">
      <alignment horizontal="center" shrinkToFit="0" vertical="center" wrapText="1"/>
    </xf>
    <xf borderId="144" fillId="2" fontId="5" numFmtId="0" xfId="0" applyAlignment="1" applyBorder="1" applyFill="1" applyFont="1">
      <alignment horizontal="center" readingOrder="0" shrinkToFit="0" vertical="center" wrapText="1"/>
    </xf>
    <xf borderId="0" fillId="19" fontId="2" numFmtId="0" xfId="0" applyAlignment="1" applyFill="1" applyFont="1">
      <alignment horizontal="center" readingOrder="0" shrinkToFit="0" vertical="center" wrapText="1"/>
    </xf>
    <xf borderId="127" fillId="0" fontId="2" numFmtId="0" xfId="0" applyAlignment="1" applyBorder="1" applyFont="1">
      <alignment horizontal="center" shrinkToFit="0" vertical="center" wrapText="1"/>
    </xf>
    <xf borderId="14" fillId="19" fontId="2" numFmtId="0" xfId="0" applyAlignment="1" applyBorder="1" applyFill="1" applyFont="1">
      <alignment horizontal="center" shrinkToFit="0" vertical="center" wrapText="1"/>
    </xf>
    <xf borderId="44" fillId="19" fontId="2" numFmtId="0" xfId="0" applyAlignment="1" applyBorder="1" applyFill="1" applyFont="1">
      <alignment horizontal="center" shrinkToFit="0" vertical="center" wrapText="1"/>
    </xf>
    <xf borderId="44" fillId="24" fontId="2" numFmtId="0" xfId="0" applyAlignment="1" applyBorder="1" applyFill="1" applyFont="1">
      <alignment horizontal="center" shrinkToFit="0" vertical="center" wrapText="1"/>
    </xf>
    <xf borderId="143" fillId="0" fontId="6" numFmtId="0" xfId="0" applyBorder="1" applyFont="1"/>
    <xf borderId="133" fillId="0" fontId="2" numFmtId="0" xfId="0" applyAlignment="1" applyBorder="1" applyFont="1">
      <alignment horizontal="center" readingOrder="0" shrinkToFit="0" vertical="center" wrapText="1"/>
    </xf>
    <xf borderId="133" fillId="0" fontId="2" numFmtId="0" xfId="0" applyAlignment="1" applyBorder="1" applyFont="1">
      <alignment horizontal="center" shrinkToFit="0" vertical="center" wrapText="1"/>
    </xf>
    <xf borderId="60" fillId="2" fontId="5" numFmtId="0" xfId="0" applyAlignment="1" applyBorder="1" applyFill="1" applyFont="1">
      <alignment horizontal="center" readingOrder="0" shrinkToFit="0" vertical="center" wrapText="1"/>
    </xf>
    <xf borderId="145" fillId="2" fontId="5" numFmtId="0" xfId="0" applyAlignment="1" applyBorder="1" applyFill="1" applyFont="1">
      <alignment horizontal="center" readingOrder="0" shrinkToFit="0" vertical="center" wrapText="1"/>
    </xf>
    <xf borderId="120" fillId="0" fontId="2" numFmtId="0" xfId="0" applyAlignment="1" applyBorder="1" applyFont="1">
      <alignment horizontal="center" shrinkToFit="0" vertical="center" wrapText="1"/>
    </xf>
    <xf borderId="91" fillId="0" fontId="2" numFmtId="0" xfId="0" applyAlignment="1" applyBorder="1" applyFont="1">
      <alignment horizontal="center" shrinkToFit="0" vertical="center" wrapText="1"/>
    </xf>
    <xf borderId="120" fillId="0" fontId="21" numFmtId="0" xfId="0" applyAlignment="1" applyBorder="1" applyFont="1">
      <alignment horizontal="center" shrinkToFit="0" vertical="center" wrapText="1"/>
    </xf>
    <xf borderId="120" fillId="0" fontId="2" numFmtId="0" xfId="0" applyAlignment="1" applyBorder="1" applyFont="1">
      <alignment horizontal="center" readingOrder="0" shrinkToFit="0" vertical="center" wrapText="1"/>
    </xf>
    <xf borderId="146" fillId="0" fontId="6" numFmtId="0" xfId="0" applyBorder="1" applyFont="1"/>
    <xf borderId="133" fillId="24" fontId="2" numFmtId="0" xfId="0" applyAlignment="1" applyBorder="1" applyFill="1" applyFont="1">
      <alignment horizontal="center" shrinkToFit="0" vertical="center" wrapText="1"/>
    </xf>
    <xf borderId="99" fillId="2" fontId="5" numFmtId="0" xfId="0" applyAlignment="1" applyBorder="1" applyFill="1" applyFont="1">
      <alignment horizontal="center" readingOrder="0" shrinkToFit="0" vertical="center" wrapText="1"/>
    </xf>
    <xf borderId="27" fillId="19" fontId="1" numFmtId="0" xfId="0" applyAlignment="1" applyBorder="1" applyFill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147" fillId="2" fontId="5" numFmtId="0" xfId="0" applyAlignment="1" applyBorder="1" applyFill="1" applyFont="1">
      <alignment horizontal="center" shrinkToFit="0" vertical="center" wrapText="1"/>
    </xf>
    <xf borderId="148" fillId="0" fontId="6" numFmtId="0" xfId="0" applyBorder="1" applyFont="1"/>
    <xf borderId="149" fillId="0" fontId="6" numFmtId="0" xfId="0" applyBorder="1" applyFont="1"/>
    <xf borderId="150" fillId="25" fontId="5" numFmtId="0" xfId="0" applyAlignment="1" applyBorder="1" applyFill="1" applyFont="1">
      <alignment horizontal="center" shrinkToFit="0" vertical="center" wrapText="1"/>
    </xf>
    <xf borderId="0" fillId="19" fontId="14" numFmtId="0" xfId="0" applyAlignment="1" applyFill="1" applyFont="1">
      <alignment horizontal="center" shrinkToFit="0" vertical="center" wrapText="1"/>
    </xf>
    <xf borderId="151" fillId="0" fontId="6" numFmtId="0" xfId="0" applyBorder="1" applyFont="1"/>
    <xf borderId="150" fillId="0" fontId="6" numFmtId="0" xfId="0" applyBorder="1" applyFont="1"/>
    <xf borderId="152" fillId="0" fontId="6" numFmtId="0" xfId="0" applyBorder="1" applyFont="1"/>
    <xf borderId="153" fillId="0" fontId="6" numFmtId="0" xfId="0" applyBorder="1" applyFont="1"/>
    <xf borderId="154" fillId="0" fontId="6" numFmtId="0" xfId="0" applyBorder="1" applyFont="1"/>
    <xf borderId="147" fillId="2" fontId="5" numFmtId="0" xfId="0" applyAlignment="1" applyBorder="1" applyFill="1" applyFont="1">
      <alignment horizontal="center" readingOrder="0" shrinkToFit="0" vertical="center" wrapText="1"/>
    </xf>
    <xf borderId="155" fillId="0" fontId="6" numFmtId="0" xfId="0" applyBorder="1" applyFont="1"/>
    <xf borderId="148" fillId="0" fontId="14" numFmtId="0" xfId="0" applyAlignment="1" applyBorder="1" applyFont="1">
      <alignment horizontal="center" readingOrder="0" shrinkToFit="0" vertical="center" wrapText="1"/>
    </xf>
    <xf borderId="14" fillId="19" fontId="1" numFmtId="0" xfId="0" applyAlignment="1" applyBorder="1" applyFill="1" applyFont="1">
      <alignment horizontal="center" shrinkToFit="0" vertical="center" wrapText="1"/>
    </xf>
    <xf borderId="156" fillId="0" fontId="6" numFmtId="0" xfId="0" applyBorder="1" applyFont="1"/>
    <xf borderId="0" fillId="0" fontId="14" numFmtId="0" xfId="0" applyAlignment="1" applyFont="1">
      <alignment horizontal="center" readingOrder="0" shrinkToFit="0" vertical="center" wrapText="1"/>
    </xf>
    <xf borderId="157" fillId="0" fontId="6" numFmtId="0" xfId="0" applyBorder="1" applyFont="1"/>
    <xf borderId="1" fillId="19" fontId="5" numFmtId="0" xfId="0" applyAlignment="1" applyBorder="1" applyFill="1" applyFont="1">
      <alignment horizontal="center" readingOrder="0" shrinkToFit="0" vertical="center" wrapText="1"/>
    </xf>
    <xf borderId="158" fillId="0" fontId="6" numFmtId="0" xfId="0" applyBorder="1" applyFont="1"/>
    <xf borderId="125" fillId="0" fontId="6" numFmtId="0" xfId="0" applyBorder="1" applyFont="1"/>
    <xf borderId="159" fillId="0" fontId="6" numFmtId="0" xfId="0" applyBorder="1" applyFont="1"/>
    <xf borderId="150" fillId="0" fontId="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58" fillId="2" fontId="5" numFmtId="0" xfId="0" applyAlignment="1" applyBorder="1" applyFill="1" applyFont="1">
      <alignment horizontal="center" readingOrder="0" shrinkToFit="0" vertical="center" wrapText="1"/>
    </xf>
    <xf borderId="150" fillId="0" fontId="2" numFmtId="0" xfId="0" applyAlignment="1" applyBorder="1" applyFont="1">
      <alignment horizontal="left" readingOrder="0" shrinkToFit="0" vertical="center" wrapText="1"/>
    </xf>
    <xf borderId="152" fillId="0" fontId="2" numFmtId="0" xfId="0" applyAlignment="1" applyBorder="1" applyFont="1">
      <alignment horizontal="left" readingOrder="0" shrinkToFit="0" vertical="center" wrapText="1"/>
    </xf>
    <xf borderId="153" fillId="0" fontId="1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60" fillId="2" fontId="5" numFmtId="0" xfId="0" applyAlignment="1" applyBorder="1" applyFill="1" applyFont="1">
      <alignment horizontal="center" shrinkToFit="0" vertical="bottom" wrapText="1"/>
    </xf>
    <xf borderId="35" fillId="2" fontId="5" numFmtId="0" xfId="0" applyAlignment="1" applyBorder="1" applyFill="1" applyFont="1">
      <alignment horizontal="center" shrinkToFit="0" vertical="bottom" wrapText="1"/>
    </xf>
    <xf borderId="161" fillId="2" fontId="5" numFmtId="0" xfId="0" applyAlignment="1" applyBorder="1" applyFill="1" applyFont="1">
      <alignment horizontal="center" shrinkToFit="0" vertical="bottom" wrapText="1"/>
    </xf>
    <xf borderId="162" fillId="5" fontId="5" numFmtId="0" xfId="0" applyAlignment="1" applyBorder="1" applyFill="1" applyFont="1">
      <alignment horizontal="center" shrinkToFit="0" vertical="bottom" wrapText="1"/>
    </xf>
    <xf borderId="87" fillId="0" fontId="2" numFmtId="0" xfId="0" applyAlignment="1" applyBorder="1" applyFont="1">
      <alignment horizontal="center" shrinkToFit="0" vertical="bottom" wrapText="1"/>
    </xf>
    <xf borderId="163" fillId="0" fontId="15" numFmtId="0" xfId="0" applyAlignment="1" applyBorder="1" applyFont="1">
      <alignment vertical="bottom"/>
    </xf>
    <xf borderId="93" fillId="0" fontId="2" numFmtId="0" xfId="0" applyAlignment="1" applyBorder="1" applyFont="1">
      <alignment horizontal="center" shrinkToFit="0" vertical="bottom" wrapText="1"/>
    </xf>
    <xf borderId="103" fillId="0" fontId="15" numFmtId="0" xfId="0" applyAlignment="1" applyBorder="1" applyFont="1">
      <alignment vertical="bottom"/>
    </xf>
    <xf borderId="27" fillId="0" fontId="4" numFmtId="0" xfId="0" applyAlignment="1" applyBorder="1" applyFont="1">
      <alignment shrinkToFit="0" wrapText="1"/>
    </xf>
    <xf borderId="0" fillId="0" fontId="18" numFmtId="164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0" fontId="18" numFmtId="1" xfId="0" applyFont="1" applyNumberFormat="1"/>
    <xf borderId="162" fillId="5" fontId="5" numFmtId="0" xfId="0" applyAlignment="1" applyBorder="1" applyFill="1" applyFont="1">
      <alignment horizontal="center" shrinkToFit="0" wrapText="1"/>
    </xf>
    <xf borderId="87" fillId="0" fontId="2" numFmtId="0" xfId="0" applyAlignment="1" applyBorder="1" applyFont="1">
      <alignment horizontal="center" shrinkToFit="0" wrapText="1"/>
    </xf>
    <xf borderId="163" fillId="0" fontId="15" numFmtId="0" xfId="0" applyBorder="1" applyFont="1"/>
    <xf borderId="162" fillId="5" fontId="5" numFmtId="0" xfId="0" applyAlignment="1" applyBorder="1" applyFill="1" applyFont="1">
      <alignment horizontal="center" readingOrder="0" shrinkToFit="0" vertical="center" wrapText="1"/>
    </xf>
    <xf borderId="87" fillId="0" fontId="2" numFmtId="0" xfId="0" applyAlignment="1" applyBorder="1" applyFont="1">
      <alignment horizontal="center" readingOrder="0" shrinkToFit="0" vertical="center" wrapText="1"/>
    </xf>
    <xf borderId="163" fillId="0" fontId="2" numFmtId="0" xfId="0" applyAlignment="1" applyBorder="1" applyFont="1">
      <alignment horizontal="center" shrinkToFit="0" vertical="center" wrapText="1"/>
    </xf>
    <xf borderId="160" fillId="2" fontId="5" numFmtId="0" xfId="0" applyAlignment="1" applyBorder="1" applyFill="1" applyFont="1">
      <alignment horizontal="center" readingOrder="0" shrinkToFit="0" vertical="center" wrapText="1"/>
    </xf>
    <xf borderId="41" fillId="2" fontId="5" numFmtId="0" xfId="0" applyAlignment="1" applyBorder="1" applyFill="1" applyFont="1">
      <alignment horizontal="center" readingOrder="0" shrinkToFit="0" vertical="center" wrapText="1"/>
    </xf>
    <xf borderId="161" fillId="2" fontId="5" numFmtId="0" xfId="0" applyAlignment="1" applyBorder="1" applyFill="1" applyFont="1">
      <alignment horizontal="center" readingOrder="0" shrinkToFit="0" vertical="center" wrapText="1"/>
    </xf>
    <xf borderId="51" fillId="0" fontId="2" numFmtId="0" xfId="0" applyAlignment="1" applyBorder="1" applyFont="1">
      <alignment horizontal="center" shrinkToFit="0" vertical="center" wrapText="1"/>
    </xf>
    <xf borderId="51" fillId="0" fontId="2" numFmtId="0" xfId="0" applyAlignment="1" applyBorder="1" applyFont="1">
      <alignment horizontal="center" readingOrder="0" shrinkToFit="0" vertical="center" wrapText="1"/>
    </xf>
    <xf borderId="114" fillId="0" fontId="1" numFmtId="0" xfId="0" applyBorder="1" applyFont="1"/>
    <xf borderId="162" fillId="5" fontId="5" numFmtId="0" xfId="0" applyAlignment="1" applyBorder="1" applyFill="1" applyFont="1">
      <alignment horizontal="center" shrinkToFit="0" vertical="center" wrapText="1"/>
    </xf>
    <xf borderId="45" fillId="5" fontId="5" numFmtId="0" xfId="0" applyAlignment="1" applyBorder="1" applyFill="1" applyFont="1">
      <alignment horizontal="center" shrinkToFit="0" vertical="center" wrapText="1"/>
    </xf>
    <xf borderId="61" fillId="0" fontId="2" numFmtId="0" xfId="0" applyAlignment="1" applyBorder="1" applyFont="1">
      <alignment horizontal="center" shrinkToFit="0" vertical="center" wrapText="1"/>
    </xf>
    <xf borderId="63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orms.gle/iBnR3Be1jyoXWvRh6" TargetMode="External"/><Relationship Id="rId10" Type="http://schemas.openxmlformats.org/officeDocument/2006/relationships/hyperlink" Target="https://forms.gle/iBnR3Be1jyoXWvRh6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forms.gle/iBnR3Be1jyoXWvRh6" TargetMode="External"/><Relationship Id="rId1" Type="http://schemas.openxmlformats.org/officeDocument/2006/relationships/hyperlink" Target="https://forms.gle/iBnR3Be1jyoXWvRh6" TargetMode="External"/><Relationship Id="rId2" Type="http://schemas.openxmlformats.org/officeDocument/2006/relationships/hyperlink" Target="https://forms.gle/iBnR3Be1jyoXWvRh6" TargetMode="External"/><Relationship Id="rId3" Type="http://schemas.openxmlformats.org/officeDocument/2006/relationships/hyperlink" Target="https://forms.gle/iBnR3Be1jyoXWvRh6" TargetMode="External"/><Relationship Id="rId4" Type="http://schemas.openxmlformats.org/officeDocument/2006/relationships/hyperlink" Target="https://forms.gle/iBnR3Be1jyoXWvRh6" TargetMode="External"/><Relationship Id="rId9" Type="http://schemas.openxmlformats.org/officeDocument/2006/relationships/hyperlink" Target="https://forms.gle/iBnR3Be1jyoXWvRh6" TargetMode="External"/><Relationship Id="rId5" Type="http://schemas.openxmlformats.org/officeDocument/2006/relationships/hyperlink" Target="https://forms.gle/iBnR3Be1jyoXWvRh6" TargetMode="External"/><Relationship Id="rId6" Type="http://schemas.openxmlformats.org/officeDocument/2006/relationships/hyperlink" Target="https://forms.gle/iBnR3Be1jyoXWvRh6" TargetMode="External"/><Relationship Id="rId7" Type="http://schemas.openxmlformats.org/officeDocument/2006/relationships/hyperlink" Target="https://forms.gle/iBnR3Be1jyoXWvRh6" TargetMode="External"/><Relationship Id="rId8" Type="http://schemas.openxmlformats.org/officeDocument/2006/relationships/hyperlink" Target="https://forms.gle/iBnR3Be1jyoXWvRh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.88"/>
    <col customWidth="1" min="3" max="3" width="13.63"/>
    <col customWidth="1" min="4" max="4" width="13.75"/>
    <col customWidth="1" min="5" max="5" width="15.88"/>
    <col customWidth="1" min="6" max="7" width="9.5"/>
    <col customWidth="1" min="8" max="8" width="7.38"/>
    <col customWidth="1" min="9" max="10" width="22.0"/>
    <col customWidth="1" min="11" max="11" width="17.38"/>
    <col customWidth="1" min="12" max="12" width="21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3"/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15" t="s">
        <v>5</v>
      </c>
      <c r="H3" s="25"/>
      <c r="I3" s="6" t="s">
        <v>8</v>
      </c>
      <c r="J3" s="6" t="s">
        <v>10</v>
      </c>
      <c r="K3" s="6" t="s">
        <v>12</v>
      </c>
      <c r="L3" s="34" t="s">
        <v>14</v>
      </c>
      <c r="M3" s="37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3"/>
      <c r="B4" s="40"/>
      <c r="C4" s="42"/>
      <c r="D4" s="42"/>
      <c r="E4" s="42"/>
      <c r="F4" s="42"/>
      <c r="G4" s="45" t="s">
        <v>25</v>
      </c>
      <c r="H4" s="82" t="s">
        <v>32</v>
      </c>
      <c r="I4" s="42"/>
      <c r="J4" s="42"/>
      <c r="K4" s="42"/>
      <c r="L4" s="87"/>
      <c r="M4" s="37"/>
      <c r="N4" s="1"/>
      <c r="O4" s="1"/>
      <c r="P4" s="1"/>
      <c r="Q4" s="1"/>
      <c r="R4" s="1"/>
      <c r="S4" s="1"/>
      <c r="T4" s="1"/>
      <c r="U4" s="1"/>
      <c r="V4" s="1"/>
      <c r="W4" s="1"/>
    </row>
    <row r="5" ht="30.0" customHeight="1">
      <c r="A5" s="3"/>
      <c r="B5" s="93">
        <v>1.0</v>
      </c>
      <c r="C5" s="96"/>
      <c r="D5" s="98"/>
      <c r="E5" s="98"/>
      <c r="F5" s="100"/>
      <c r="G5" s="102"/>
      <c r="H5" s="106"/>
      <c r="I5" s="106"/>
      <c r="J5" s="106"/>
      <c r="K5" s="100"/>
      <c r="L5" s="109"/>
      <c r="M5" s="37"/>
      <c r="N5" s="1"/>
      <c r="O5" s="1"/>
      <c r="P5" s="1"/>
      <c r="Q5" s="1"/>
      <c r="R5" s="1"/>
      <c r="S5" s="1"/>
      <c r="T5" s="1"/>
      <c r="U5" s="1"/>
      <c r="V5" s="1"/>
      <c r="W5" s="1"/>
    </row>
    <row r="6" ht="30.0" customHeight="1">
      <c r="A6" s="3"/>
      <c r="B6" s="93">
        <v>2.0</v>
      </c>
      <c r="C6" s="96">
        <f t="shared" ref="C6:C56" si="1">C5+7</f>
        <v>7</v>
      </c>
      <c r="D6" s="98"/>
      <c r="E6" s="98"/>
      <c r="F6" s="100"/>
      <c r="G6" s="102"/>
      <c r="H6" s="106"/>
      <c r="I6" s="106"/>
      <c r="J6" s="106"/>
      <c r="K6" s="100"/>
      <c r="L6" s="109"/>
      <c r="M6" s="37"/>
      <c r="N6" s="1"/>
      <c r="O6" s="1"/>
      <c r="P6" s="1"/>
      <c r="Q6" s="1"/>
      <c r="R6" s="1"/>
      <c r="S6" s="1"/>
      <c r="T6" s="1"/>
      <c r="U6" s="1"/>
      <c r="V6" s="1"/>
      <c r="W6" s="1"/>
    </row>
    <row r="7" ht="30.0" customHeight="1">
      <c r="A7" s="3"/>
      <c r="B7" s="93">
        <v>3.0</v>
      </c>
      <c r="C7" s="96">
        <f t="shared" si="1"/>
        <v>14</v>
      </c>
      <c r="D7" s="98"/>
      <c r="E7" s="98"/>
      <c r="F7" s="100"/>
      <c r="G7" s="102"/>
      <c r="H7" s="106"/>
      <c r="I7" s="106"/>
      <c r="J7" s="106"/>
      <c r="K7" s="100"/>
      <c r="L7" s="109"/>
      <c r="M7" s="37"/>
      <c r="N7" s="1"/>
      <c r="O7" s="1"/>
      <c r="P7" s="1"/>
      <c r="Q7" s="1"/>
      <c r="R7" s="1"/>
      <c r="S7" s="1"/>
      <c r="T7" s="1"/>
      <c r="U7" s="1"/>
      <c r="V7" s="1"/>
      <c r="W7" s="1"/>
    </row>
    <row r="8" ht="30.0" customHeight="1">
      <c r="A8" s="3"/>
      <c r="B8" s="93">
        <v>4.0</v>
      </c>
      <c r="C8" s="96">
        <f t="shared" si="1"/>
        <v>21</v>
      </c>
      <c r="D8" s="98"/>
      <c r="E8" s="98"/>
      <c r="F8" s="100"/>
      <c r="G8" s="102"/>
      <c r="H8" s="106"/>
      <c r="I8" s="106"/>
      <c r="J8" s="106"/>
      <c r="K8" s="100"/>
      <c r="L8" s="109"/>
      <c r="M8" s="37"/>
      <c r="N8" s="1"/>
      <c r="O8" s="1"/>
      <c r="P8" s="1"/>
      <c r="Q8" s="1"/>
      <c r="R8" s="1"/>
      <c r="S8" s="1"/>
      <c r="T8" s="1"/>
      <c r="U8" s="1"/>
      <c r="V8" s="1"/>
      <c r="W8" s="1"/>
    </row>
    <row r="9" ht="30.0" customHeight="1">
      <c r="A9" s="3"/>
      <c r="B9" s="93">
        <v>5.0</v>
      </c>
      <c r="C9" s="96">
        <f t="shared" si="1"/>
        <v>28</v>
      </c>
      <c r="D9" s="98"/>
      <c r="E9" s="98"/>
      <c r="F9" s="100"/>
      <c r="G9" s="102"/>
      <c r="H9" s="106"/>
      <c r="I9" s="106"/>
      <c r="J9" s="106"/>
      <c r="K9" s="100"/>
      <c r="L9" s="109"/>
      <c r="M9" s="37"/>
      <c r="N9" s="1"/>
      <c r="O9" s="1"/>
      <c r="P9" s="1"/>
      <c r="Q9" s="1"/>
      <c r="R9" s="1"/>
      <c r="S9" s="1"/>
      <c r="T9" s="1"/>
      <c r="U9" s="1"/>
      <c r="V9" s="1"/>
      <c r="W9" s="1"/>
    </row>
    <row r="10" ht="30.0" customHeight="1">
      <c r="A10" s="3"/>
      <c r="B10" s="93">
        <v>6.0</v>
      </c>
      <c r="C10" s="96">
        <f t="shared" si="1"/>
        <v>35</v>
      </c>
      <c r="D10" s="98"/>
      <c r="E10" s="98"/>
      <c r="F10" s="100"/>
      <c r="G10" s="102"/>
      <c r="H10" s="106"/>
      <c r="I10" s="106"/>
      <c r="J10" s="106"/>
      <c r="K10" s="100"/>
      <c r="L10" s="109"/>
      <c r="M10" s="37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30.0" customHeight="1">
      <c r="A11" s="3"/>
      <c r="B11" s="93">
        <v>7.0</v>
      </c>
      <c r="C11" s="96">
        <f t="shared" si="1"/>
        <v>42</v>
      </c>
      <c r="D11" s="98"/>
      <c r="E11" s="98"/>
      <c r="F11" s="100"/>
      <c r="G11" s="102"/>
      <c r="H11" s="106"/>
      <c r="I11" s="106"/>
      <c r="J11" s="106"/>
      <c r="K11" s="100"/>
      <c r="L11" s="109"/>
      <c r="M11" s="37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30.0" customHeight="1">
      <c r="A12" s="3"/>
      <c r="B12" s="93">
        <v>8.0</v>
      </c>
      <c r="C12" s="96">
        <f t="shared" si="1"/>
        <v>49</v>
      </c>
      <c r="D12" s="98"/>
      <c r="E12" s="98"/>
      <c r="F12" s="100"/>
      <c r="G12" s="102"/>
      <c r="H12" s="106"/>
      <c r="I12" s="106"/>
      <c r="J12" s="106"/>
      <c r="K12" s="100"/>
      <c r="L12" s="109"/>
      <c r="M12" s="37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30.0" customHeight="1">
      <c r="A13" s="3"/>
      <c r="B13" s="93">
        <v>9.0</v>
      </c>
      <c r="C13" s="96">
        <f t="shared" si="1"/>
        <v>56</v>
      </c>
      <c r="D13" s="98"/>
      <c r="E13" s="98"/>
      <c r="F13" s="100"/>
      <c r="G13" s="102"/>
      <c r="H13" s="106"/>
      <c r="I13" s="106"/>
      <c r="J13" s="106"/>
      <c r="K13" s="100"/>
      <c r="L13" s="109"/>
      <c r="M13" s="37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30.0" customHeight="1">
      <c r="A14" s="3"/>
      <c r="B14" s="93">
        <v>10.0</v>
      </c>
      <c r="C14" s="96">
        <f t="shared" si="1"/>
        <v>63</v>
      </c>
      <c r="D14" s="98"/>
      <c r="E14" s="98"/>
      <c r="F14" s="100"/>
      <c r="G14" s="102"/>
      <c r="H14" s="106"/>
      <c r="I14" s="106"/>
      <c r="J14" s="106"/>
      <c r="K14" s="100"/>
      <c r="L14" s="109"/>
      <c r="M14" s="37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30.0" customHeight="1">
      <c r="A15" s="3"/>
      <c r="B15" s="93">
        <v>11.0</v>
      </c>
      <c r="C15" s="96">
        <f t="shared" si="1"/>
        <v>70</v>
      </c>
      <c r="D15" s="98"/>
      <c r="E15" s="98"/>
      <c r="F15" s="100"/>
      <c r="G15" s="102"/>
      <c r="H15" s="106"/>
      <c r="I15" s="106"/>
      <c r="J15" s="106"/>
      <c r="K15" s="100"/>
      <c r="L15" s="109"/>
      <c r="M15" s="37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30.0" customHeight="1">
      <c r="A16" s="3"/>
      <c r="B16" s="93">
        <v>12.0</v>
      </c>
      <c r="C16" s="96">
        <f t="shared" si="1"/>
        <v>77</v>
      </c>
      <c r="D16" s="98"/>
      <c r="E16" s="98"/>
      <c r="F16" s="100"/>
      <c r="G16" s="102"/>
      <c r="H16" s="106"/>
      <c r="I16" s="106"/>
      <c r="J16" s="106"/>
      <c r="K16" s="100"/>
      <c r="L16" s="109"/>
      <c r="M16" s="37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30.0" customHeight="1">
      <c r="A17" s="3"/>
      <c r="B17" s="93">
        <v>13.0</v>
      </c>
      <c r="C17" s="96">
        <f t="shared" si="1"/>
        <v>84</v>
      </c>
      <c r="D17" s="98"/>
      <c r="E17" s="98"/>
      <c r="F17" s="100"/>
      <c r="G17" s="102"/>
      <c r="H17" s="106"/>
      <c r="I17" s="106"/>
      <c r="J17" s="106"/>
      <c r="K17" s="100"/>
      <c r="L17" s="109"/>
      <c r="M17" s="37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30.0" customHeight="1">
      <c r="A18" s="3"/>
      <c r="B18" s="93">
        <v>14.0</v>
      </c>
      <c r="C18" s="96">
        <f t="shared" si="1"/>
        <v>91</v>
      </c>
      <c r="D18" s="98"/>
      <c r="E18" s="98"/>
      <c r="F18" s="100"/>
      <c r="G18" s="102"/>
      <c r="H18" s="106"/>
      <c r="I18" s="106"/>
      <c r="J18" s="106"/>
      <c r="K18" s="100"/>
      <c r="L18" s="109"/>
      <c r="M18" s="37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30.0" customHeight="1">
      <c r="A19" s="3"/>
      <c r="B19" s="93">
        <v>15.0</v>
      </c>
      <c r="C19" s="96">
        <f t="shared" si="1"/>
        <v>98</v>
      </c>
      <c r="D19" s="98"/>
      <c r="E19" s="98"/>
      <c r="F19" s="100"/>
      <c r="G19" s="102"/>
      <c r="H19" s="106"/>
      <c r="I19" s="106"/>
      <c r="J19" s="106"/>
      <c r="K19" s="100"/>
      <c r="L19" s="109"/>
      <c r="M19" s="37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30.0" customHeight="1">
      <c r="A20" s="3"/>
      <c r="B20" s="93">
        <v>16.0</v>
      </c>
      <c r="C20" s="96">
        <f t="shared" si="1"/>
        <v>105</v>
      </c>
      <c r="D20" s="98"/>
      <c r="E20" s="98"/>
      <c r="F20" s="100"/>
      <c r="G20" s="102"/>
      <c r="H20" s="106"/>
      <c r="I20" s="106"/>
      <c r="J20" s="106"/>
      <c r="K20" s="100"/>
      <c r="L20" s="109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30.0" customHeight="1">
      <c r="A21" s="3"/>
      <c r="B21" s="93">
        <v>17.0</v>
      </c>
      <c r="C21" s="96">
        <f t="shared" si="1"/>
        <v>112</v>
      </c>
      <c r="D21" s="98"/>
      <c r="E21" s="98"/>
      <c r="F21" s="100"/>
      <c r="G21" s="102"/>
      <c r="H21" s="106"/>
      <c r="I21" s="106"/>
      <c r="J21" s="106"/>
      <c r="K21" s="100"/>
      <c r="L21" s="109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30.0" customHeight="1">
      <c r="A22" s="3"/>
      <c r="B22" s="93">
        <v>18.0</v>
      </c>
      <c r="C22" s="96">
        <f t="shared" si="1"/>
        <v>119</v>
      </c>
      <c r="D22" s="98"/>
      <c r="E22" s="98"/>
      <c r="F22" s="100"/>
      <c r="G22" s="102"/>
      <c r="H22" s="106"/>
      <c r="I22" s="106"/>
      <c r="J22" s="106"/>
      <c r="K22" s="100"/>
      <c r="L22" s="109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30.0" customHeight="1">
      <c r="A23" s="3"/>
      <c r="B23" s="93">
        <v>19.0</v>
      </c>
      <c r="C23" s="96">
        <f t="shared" si="1"/>
        <v>126</v>
      </c>
      <c r="D23" s="98"/>
      <c r="E23" s="98"/>
      <c r="F23" s="100"/>
      <c r="G23" s="102"/>
      <c r="H23" s="106"/>
      <c r="I23" s="106"/>
      <c r="J23" s="106"/>
      <c r="K23" s="100"/>
      <c r="L23" s="109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30.0" customHeight="1">
      <c r="A24" s="3"/>
      <c r="B24" s="93">
        <v>20.0</v>
      </c>
      <c r="C24" s="96">
        <f t="shared" si="1"/>
        <v>133</v>
      </c>
      <c r="D24" s="98"/>
      <c r="E24" s="98"/>
      <c r="F24" s="100"/>
      <c r="G24" s="102"/>
      <c r="H24" s="106"/>
      <c r="I24" s="106"/>
      <c r="J24" s="106"/>
      <c r="K24" s="100"/>
      <c r="L24" s="109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30.0" customHeight="1">
      <c r="A25" s="3"/>
      <c r="B25" s="93">
        <v>21.0</v>
      </c>
      <c r="C25" s="96">
        <f t="shared" si="1"/>
        <v>140</v>
      </c>
      <c r="D25" s="98"/>
      <c r="E25" s="98"/>
      <c r="F25" s="100"/>
      <c r="G25" s="102"/>
      <c r="H25" s="106"/>
      <c r="I25" s="106"/>
      <c r="J25" s="106"/>
      <c r="K25" s="100"/>
      <c r="L25" s="109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30.0" customHeight="1">
      <c r="A26" s="3"/>
      <c r="B26" s="93">
        <v>22.0</v>
      </c>
      <c r="C26" s="96">
        <f t="shared" si="1"/>
        <v>147</v>
      </c>
      <c r="D26" s="98"/>
      <c r="E26" s="98"/>
      <c r="F26" s="100"/>
      <c r="G26" s="102"/>
      <c r="H26" s="106"/>
      <c r="I26" s="106"/>
      <c r="J26" s="106"/>
      <c r="K26" s="100"/>
      <c r="L26" s="109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30.0" customHeight="1">
      <c r="A27" s="3"/>
      <c r="B27" s="93">
        <v>23.0</v>
      </c>
      <c r="C27" s="96">
        <f t="shared" si="1"/>
        <v>154</v>
      </c>
      <c r="D27" s="98"/>
      <c r="E27" s="98"/>
      <c r="F27" s="100"/>
      <c r="G27" s="102"/>
      <c r="H27" s="106"/>
      <c r="I27" s="106"/>
      <c r="J27" s="106"/>
      <c r="K27" s="100"/>
      <c r="L27" s="109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30.0" customHeight="1">
      <c r="A28" s="3"/>
      <c r="B28" s="93">
        <v>24.0</v>
      </c>
      <c r="C28" s="96">
        <f t="shared" si="1"/>
        <v>161</v>
      </c>
      <c r="D28" s="98"/>
      <c r="E28" s="98"/>
      <c r="F28" s="100"/>
      <c r="G28" s="102"/>
      <c r="H28" s="106"/>
      <c r="I28" s="106"/>
      <c r="J28" s="106"/>
      <c r="K28" s="100"/>
      <c r="L28" s="109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30.0" customHeight="1">
      <c r="A29" s="3"/>
      <c r="B29" s="93">
        <v>25.0</v>
      </c>
      <c r="C29" s="96">
        <f t="shared" si="1"/>
        <v>168</v>
      </c>
      <c r="D29" s="98"/>
      <c r="E29" s="98"/>
      <c r="F29" s="100"/>
      <c r="G29" s="102"/>
      <c r="H29" s="106"/>
      <c r="I29" s="106"/>
      <c r="J29" s="106"/>
      <c r="K29" s="100"/>
      <c r="L29" s="109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30.0" customHeight="1">
      <c r="A30" s="3"/>
      <c r="B30" s="93">
        <v>26.0</v>
      </c>
      <c r="C30" s="96">
        <f t="shared" si="1"/>
        <v>175</v>
      </c>
      <c r="D30" s="98"/>
      <c r="E30" s="98"/>
      <c r="F30" s="100"/>
      <c r="G30" s="102"/>
      <c r="H30" s="106"/>
      <c r="I30" s="106"/>
      <c r="J30" s="106"/>
      <c r="K30" s="100"/>
      <c r="L30" s="109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30.0" customHeight="1">
      <c r="A31" s="3"/>
      <c r="B31" s="93">
        <v>27.0</v>
      </c>
      <c r="C31" s="96">
        <f t="shared" si="1"/>
        <v>182</v>
      </c>
      <c r="D31" s="98"/>
      <c r="E31" s="98"/>
      <c r="F31" s="100"/>
      <c r="G31" s="102"/>
      <c r="H31" s="106"/>
      <c r="I31" s="106"/>
      <c r="J31" s="106"/>
      <c r="K31" s="100"/>
      <c r="L31" s="109"/>
      <c r="M31" s="37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30.0" customHeight="1">
      <c r="A32" s="3"/>
      <c r="B32" s="93">
        <v>28.0</v>
      </c>
      <c r="C32" s="96">
        <f t="shared" si="1"/>
        <v>189</v>
      </c>
      <c r="D32" s="98"/>
      <c r="E32" s="98"/>
      <c r="F32" s="100"/>
      <c r="G32" s="102"/>
      <c r="H32" s="106"/>
      <c r="I32" s="106"/>
      <c r="J32" s="106"/>
      <c r="K32" s="100"/>
      <c r="L32" s="109"/>
      <c r="M32" s="37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30.0" customHeight="1">
      <c r="A33" s="3"/>
      <c r="B33" s="93">
        <v>29.0</v>
      </c>
      <c r="C33" s="96">
        <f t="shared" si="1"/>
        <v>196</v>
      </c>
      <c r="D33" s="98"/>
      <c r="E33" s="98"/>
      <c r="F33" s="100"/>
      <c r="G33" s="102"/>
      <c r="H33" s="106"/>
      <c r="I33" s="106"/>
      <c r="J33" s="106"/>
      <c r="K33" s="100"/>
      <c r="L33" s="109"/>
      <c r="M33" s="37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30.0" customHeight="1">
      <c r="A34" s="3"/>
      <c r="B34" s="93">
        <v>30.0</v>
      </c>
      <c r="C34" s="96">
        <f t="shared" si="1"/>
        <v>203</v>
      </c>
      <c r="D34" s="98"/>
      <c r="E34" s="98"/>
      <c r="F34" s="100"/>
      <c r="G34" s="102"/>
      <c r="H34" s="106"/>
      <c r="I34" s="106"/>
      <c r="J34" s="106"/>
      <c r="K34" s="100"/>
      <c r="L34" s="109"/>
      <c r="M34" s="37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30.0" customHeight="1">
      <c r="A35" s="3"/>
      <c r="B35" s="93">
        <v>31.0</v>
      </c>
      <c r="C35" s="96">
        <f t="shared" si="1"/>
        <v>210</v>
      </c>
      <c r="D35" s="98"/>
      <c r="E35" s="98"/>
      <c r="F35" s="100"/>
      <c r="G35" s="102"/>
      <c r="H35" s="106"/>
      <c r="I35" s="106"/>
      <c r="J35" s="106"/>
      <c r="K35" s="100"/>
      <c r="L35" s="109"/>
      <c r="M35" s="37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30.0" customHeight="1">
      <c r="A36" s="3"/>
      <c r="B36" s="93">
        <v>32.0</v>
      </c>
      <c r="C36" s="96">
        <f t="shared" si="1"/>
        <v>217</v>
      </c>
      <c r="D36" s="98"/>
      <c r="E36" s="98"/>
      <c r="F36" s="100"/>
      <c r="G36" s="102"/>
      <c r="H36" s="106"/>
      <c r="I36" s="106"/>
      <c r="J36" s="106"/>
      <c r="K36" s="100"/>
      <c r="L36" s="109"/>
      <c r="M36" s="37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30.0" customHeight="1">
      <c r="A37" s="3"/>
      <c r="B37" s="93">
        <v>33.0</v>
      </c>
      <c r="C37" s="96">
        <f t="shared" si="1"/>
        <v>224</v>
      </c>
      <c r="D37" s="98"/>
      <c r="E37" s="98"/>
      <c r="F37" s="100"/>
      <c r="G37" s="102"/>
      <c r="H37" s="106"/>
      <c r="I37" s="106"/>
      <c r="J37" s="106"/>
      <c r="K37" s="100"/>
      <c r="L37" s="109"/>
      <c r="M37" s="37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30.0" customHeight="1">
      <c r="A38" s="3"/>
      <c r="B38" s="93">
        <v>34.0</v>
      </c>
      <c r="C38" s="96">
        <f t="shared" si="1"/>
        <v>231</v>
      </c>
      <c r="D38" s="98"/>
      <c r="E38" s="98"/>
      <c r="F38" s="100"/>
      <c r="G38" s="102"/>
      <c r="H38" s="106"/>
      <c r="I38" s="106"/>
      <c r="J38" s="106"/>
      <c r="K38" s="100"/>
      <c r="L38" s="109"/>
      <c r="M38" s="37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30.0" customHeight="1">
      <c r="A39" s="3"/>
      <c r="B39" s="93">
        <v>35.0</v>
      </c>
      <c r="C39" s="96">
        <f t="shared" si="1"/>
        <v>238</v>
      </c>
      <c r="D39" s="98"/>
      <c r="E39" s="98"/>
      <c r="F39" s="100"/>
      <c r="G39" s="102"/>
      <c r="H39" s="106"/>
      <c r="I39" s="106"/>
      <c r="J39" s="106"/>
      <c r="K39" s="100"/>
      <c r="L39" s="109"/>
      <c r="M39" s="37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30.0" customHeight="1">
      <c r="A40" s="3"/>
      <c r="B40" s="93">
        <v>36.0</v>
      </c>
      <c r="C40" s="96">
        <f t="shared" si="1"/>
        <v>245</v>
      </c>
      <c r="D40" s="98"/>
      <c r="E40" s="98"/>
      <c r="F40" s="100"/>
      <c r="G40" s="102"/>
      <c r="H40" s="106"/>
      <c r="I40" s="106"/>
      <c r="J40" s="106"/>
      <c r="K40" s="100"/>
      <c r="L40" s="109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30.0" customHeight="1">
      <c r="A41" s="3"/>
      <c r="B41" s="93">
        <v>37.0</v>
      </c>
      <c r="C41" s="96">
        <f t="shared" si="1"/>
        <v>252</v>
      </c>
      <c r="D41" s="98"/>
      <c r="E41" s="98"/>
      <c r="F41" s="100"/>
      <c r="G41" s="102"/>
      <c r="H41" s="106"/>
      <c r="I41" s="106"/>
      <c r="J41" s="106"/>
      <c r="K41" s="100"/>
      <c r="L41" s="109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30.0" customHeight="1">
      <c r="A42" s="3"/>
      <c r="B42" s="93">
        <v>38.0</v>
      </c>
      <c r="C42" s="96">
        <f t="shared" si="1"/>
        <v>259</v>
      </c>
      <c r="D42" s="98"/>
      <c r="E42" s="98"/>
      <c r="F42" s="100"/>
      <c r="G42" s="102"/>
      <c r="H42" s="106"/>
      <c r="I42" s="106"/>
      <c r="J42" s="106"/>
      <c r="K42" s="100"/>
      <c r="L42" s="109"/>
      <c r="M42" s="37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30.0" customHeight="1">
      <c r="A43" s="3"/>
      <c r="B43" s="93">
        <v>39.0</v>
      </c>
      <c r="C43" s="96">
        <f t="shared" si="1"/>
        <v>266</v>
      </c>
      <c r="D43" s="98"/>
      <c r="E43" s="98"/>
      <c r="F43" s="100"/>
      <c r="G43" s="102"/>
      <c r="H43" s="106"/>
      <c r="I43" s="106"/>
      <c r="J43" s="106"/>
      <c r="K43" s="100"/>
      <c r="L43" s="109"/>
      <c r="M43" s="37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30.0" customHeight="1">
      <c r="A44" s="3"/>
      <c r="B44" s="93">
        <v>40.0</v>
      </c>
      <c r="C44" s="96">
        <f t="shared" si="1"/>
        <v>273</v>
      </c>
      <c r="D44" s="98"/>
      <c r="E44" s="98"/>
      <c r="F44" s="100"/>
      <c r="G44" s="102"/>
      <c r="H44" s="106"/>
      <c r="I44" s="106"/>
      <c r="J44" s="106"/>
      <c r="K44" s="100"/>
      <c r="L44" s="109"/>
      <c r="M44" s="37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30.0" customHeight="1">
      <c r="A45" s="3"/>
      <c r="B45" s="93">
        <v>41.0</v>
      </c>
      <c r="C45" s="96">
        <f t="shared" si="1"/>
        <v>280</v>
      </c>
      <c r="D45" s="98"/>
      <c r="E45" s="98"/>
      <c r="F45" s="100"/>
      <c r="G45" s="102"/>
      <c r="H45" s="106"/>
      <c r="I45" s="106"/>
      <c r="J45" s="106"/>
      <c r="K45" s="100"/>
      <c r="L45" s="109"/>
      <c r="M45" s="37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30.0" customHeight="1">
      <c r="A46" s="3"/>
      <c r="B46" s="93">
        <v>42.0</v>
      </c>
      <c r="C46" s="96">
        <f t="shared" si="1"/>
        <v>287</v>
      </c>
      <c r="D46" s="98"/>
      <c r="E46" s="98"/>
      <c r="F46" s="100"/>
      <c r="G46" s="102"/>
      <c r="H46" s="106"/>
      <c r="I46" s="106"/>
      <c r="J46" s="106"/>
      <c r="K46" s="100"/>
      <c r="L46" s="109"/>
      <c r="M46" s="37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30.0" customHeight="1">
      <c r="A47" s="3"/>
      <c r="B47" s="93">
        <v>43.0</v>
      </c>
      <c r="C47" s="96">
        <f t="shared" si="1"/>
        <v>294</v>
      </c>
      <c r="D47" s="98"/>
      <c r="E47" s="98"/>
      <c r="F47" s="100"/>
      <c r="G47" s="102"/>
      <c r="H47" s="106"/>
      <c r="I47" s="106"/>
      <c r="J47" s="106"/>
      <c r="K47" s="100"/>
      <c r="L47" s="109"/>
      <c r="M47" s="37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30.0" customHeight="1">
      <c r="A48" s="3"/>
      <c r="B48" s="93">
        <v>44.0</v>
      </c>
      <c r="C48" s="96">
        <f t="shared" si="1"/>
        <v>301</v>
      </c>
      <c r="D48" s="98"/>
      <c r="E48" s="98"/>
      <c r="F48" s="100"/>
      <c r="G48" s="102"/>
      <c r="H48" s="106"/>
      <c r="I48" s="106"/>
      <c r="J48" s="106"/>
      <c r="K48" s="100"/>
      <c r="L48" s="109"/>
      <c r="M48" s="37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30.0" customHeight="1">
      <c r="A49" s="3"/>
      <c r="B49" s="93">
        <v>45.0</v>
      </c>
      <c r="C49" s="96">
        <f t="shared" si="1"/>
        <v>308</v>
      </c>
      <c r="D49" s="98"/>
      <c r="E49" s="98"/>
      <c r="F49" s="100"/>
      <c r="G49" s="102"/>
      <c r="H49" s="106"/>
      <c r="I49" s="106"/>
      <c r="J49" s="106"/>
      <c r="K49" s="100"/>
      <c r="L49" s="109"/>
      <c r="M49" s="37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30.0" customHeight="1">
      <c r="A50" s="3"/>
      <c r="B50" s="93">
        <v>46.0</v>
      </c>
      <c r="C50" s="96">
        <f t="shared" si="1"/>
        <v>315</v>
      </c>
      <c r="D50" s="98"/>
      <c r="E50" s="98"/>
      <c r="F50" s="100"/>
      <c r="G50" s="102"/>
      <c r="H50" s="106"/>
      <c r="I50" s="106"/>
      <c r="J50" s="106"/>
      <c r="K50" s="100"/>
      <c r="L50" s="109"/>
      <c r="M50" s="37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30.0" customHeight="1">
      <c r="A51" s="3"/>
      <c r="B51" s="93">
        <v>47.0</v>
      </c>
      <c r="C51" s="96">
        <f t="shared" si="1"/>
        <v>322</v>
      </c>
      <c r="D51" s="98"/>
      <c r="E51" s="98"/>
      <c r="F51" s="100"/>
      <c r="G51" s="102"/>
      <c r="H51" s="106"/>
      <c r="I51" s="106"/>
      <c r="J51" s="106"/>
      <c r="K51" s="100"/>
      <c r="L51" s="109"/>
      <c r="M51" s="37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30.0" customHeight="1">
      <c r="A52" s="3"/>
      <c r="B52" s="93">
        <v>48.0</v>
      </c>
      <c r="C52" s="96">
        <f t="shared" si="1"/>
        <v>329</v>
      </c>
      <c r="D52" s="98"/>
      <c r="E52" s="98"/>
      <c r="F52" s="100"/>
      <c r="G52" s="102"/>
      <c r="H52" s="106"/>
      <c r="I52" s="106"/>
      <c r="J52" s="106"/>
      <c r="K52" s="100"/>
      <c r="L52" s="109"/>
      <c r="M52" s="37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30.0" customHeight="1">
      <c r="A53" s="3"/>
      <c r="B53" s="93">
        <v>49.0</v>
      </c>
      <c r="C53" s="96">
        <f t="shared" si="1"/>
        <v>336</v>
      </c>
      <c r="D53" s="98"/>
      <c r="E53" s="98"/>
      <c r="F53" s="100"/>
      <c r="G53" s="102"/>
      <c r="H53" s="106"/>
      <c r="I53" s="106"/>
      <c r="J53" s="106"/>
      <c r="K53" s="100"/>
      <c r="L53" s="109"/>
      <c r="M53" s="37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30.0" customHeight="1">
      <c r="A54" s="3"/>
      <c r="B54" s="93">
        <v>50.0</v>
      </c>
      <c r="C54" s="96">
        <f t="shared" si="1"/>
        <v>343</v>
      </c>
      <c r="D54" s="98"/>
      <c r="E54" s="98"/>
      <c r="F54" s="100"/>
      <c r="G54" s="102"/>
      <c r="H54" s="106"/>
      <c r="I54" s="106"/>
      <c r="J54" s="106"/>
      <c r="K54" s="100"/>
      <c r="L54" s="109"/>
      <c r="M54" s="37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30.0" customHeight="1">
      <c r="A55" s="3"/>
      <c r="B55" s="93">
        <v>51.0</v>
      </c>
      <c r="C55" s="96">
        <f t="shared" si="1"/>
        <v>350</v>
      </c>
      <c r="D55" s="98"/>
      <c r="E55" s="98"/>
      <c r="F55" s="100"/>
      <c r="G55" s="102"/>
      <c r="H55" s="106"/>
      <c r="I55" s="106"/>
      <c r="J55" s="106"/>
      <c r="K55" s="100"/>
      <c r="L55" s="109"/>
      <c r="M55" s="37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30.0" customHeight="1">
      <c r="A56" s="3"/>
      <c r="B56" s="159">
        <v>52.0</v>
      </c>
      <c r="C56" s="96">
        <f t="shared" si="1"/>
        <v>357</v>
      </c>
      <c r="D56" s="162"/>
      <c r="E56" s="162"/>
      <c r="F56" s="163"/>
      <c r="G56" s="164"/>
      <c r="H56" s="165"/>
      <c r="I56" s="165"/>
      <c r="J56" s="165"/>
      <c r="K56" s="163"/>
      <c r="L56" s="166"/>
      <c r="M56" s="37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</sheetData>
  <mergeCells count="10">
    <mergeCell ref="J3:J4"/>
    <mergeCell ref="K3:K4"/>
    <mergeCell ref="L3:L4"/>
    <mergeCell ref="B3:B4"/>
    <mergeCell ref="C3:C4"/>
    <mergeCell ref="D3:D4"/>
    <mergeCell ref="E3:E4"/>
    <mergeCell ref="F3:F4"/>
    <mergeCell ref="G3:H3"/>
    <mergeCell ref="I3:I4"/>
  </mergeCells>
  <dataValidations>
    <dataValidation type="list" allowBlank="1" showDropDown="1" showErrorMessage="1" sqref="D5:D56">
      <formula1>"DEFICIT,MAINTENANCE,SURPLUS"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38"/>
    <col customWidth="1" min="3" max="3" width="9.13"/>
    <col customWidth="1" min="4" max="4" width="8.63"/>
    <col customWidth="1" min="5" max="5" width="9.63"/>
    <col customWidth="1" min="6" max="9" width="10.25"/>
    <col customWidth="1" min="10" max="10" width="9.63"/>
    <col customWidth="1" min="11" max="13" width="10.25"/>
    <col customWidth="1" min="14" max="14" width="9.63"/>
    <col customWidth="1" min="15" max="18" width="10.25"/>
    <col customWidth="1" min="19" max="19" width="9.63"/>
    <col customWidth="1" min="20" max="22" width="10.25"/>
  </cols>
  <sheetData>
    <row r="1">
      <c r="A1" s="7"/>
      <c r="B1" s="10"/>
      <c r="C1" s="10"/>
      <c r="D1" s="1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4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7"/>
      <c r="B2" s="10"/>
      <c r="C2" s="10"/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4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20"/>
      <c r="B3" s="7"/>
      <c r="C3" s="7"/>
      <c r="D3" s="2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4"/>
      <c r="Q3" s="7"/>
      <c r="R3" s="7"/>
      <c r="S3" s="7"/>
      <c r="T3" s="7"/>
      <c r="U3" s="7"/>
      <c r="V3" s="7"/>
      <c r="W3" s="10"/>
      <c r="X3" s="10"/>
      <c r="Y3" s="10"/>
      <c r="Z3" s="10"/>
      <c r="AA3" s="10"/>
    </row>
    <row r="4">
      <c r="A4" s="27">
        <v>1.0</v>
      </c>
      <c r="B4" s="28" t="s">
        <v>1</v>
      </c>
      <c r="C4" s="29" t="s">
        <v>9</v>
      </c>
      <c r="D4" s="30" t="s">
        <v>11</v>
      </c>
      <c r="E4" s="33" t="s">
        <v>13</v>
      </c>
      <c r="F4" s="36" t="s">
        <v>15</v>
      </c>
      <c r="G4" s="36" t="s">
        <v>16</v>
      </c>
      <c r="H4" s="36" t="s">
        <v>17</v>
      </c>
      <c r="I4" s="36" t="s">
        <v>18</v>
      </c>
      <c r="J4" s="33" t="s">
        <v>3</v>
      </c>
      <c r="K4" s="36" t="s">
        <v>19</v>
      </c>
      <c r="L4" s="36" t="s">
        <v>20</v>
      </c>
      <c r="M4" s="36" t="s">
        <v>21</v>
      </c>
      <c r="N4" s="33" t="s">
        <v>22</v>
      </c>
      <c r="O4" s="36" t="s">
        <v>23</v>
      </c>
      <c r="P4" s="43" t="s">
        <v>24</v>
      </c>
      <c r="Q4" s="29" t="s">
        <v>25</v>
      </c>
      <c r="R4" s="44" t="s">
        <v>26</v>
      </c>
      <c r="S4" s="33" t="s">
        <v>27</v>
      </c>
      <c r="T4" s="36" t="s">
        <v>28</v>
      </c>
      <c r="U4" s="36" t="s">
        <v>30</v>
      </c>
      <c r="V4" s="47" t="s">
        <v>31</v>
      </c>
      <c r="W4" s="54" t="s">
        <v>34</v>
      </c>
      <c r="X4" s="10"/>
      <c r="Y4" s="10"/>
      <c r="Z4" s="10"/>
      <c r="AA4" s="10"/>
    </row>
    <row r="5">
      <c r="A5" s="55"/>
      <c r="B5" s="57">
        <v>46034.0</v>
      </c>
      <c r="C5" s="59" t="s">
        <v>41</v>
      </c>
      <c r="D5" s="61"/>
      <c r="E5" s="62"/>
      <c r="F5" s="63"/>
      <c r="G5" s="63"/>
      <c r="H5" s="63"/>
      <c r="I5" s="63"/>
      <c r="J5" s="62"/>
      <c r="K5" s="64"/>
      <c r="L5" s="63"/>
      <c r="M5" s="64"/>
      <c r="N5" s="62"/>
      <c r="O5" s="63"/>
      <c r="P5" s="66"/>
      <c r="Q5" s="63"/>
      <c r="R5" s="64"/>
      <c r="S5" s="62"/>
      <c r="T5" s="63"/>
      <c r="U5" s="63"/>
      <c r="V5" s="68"/>
      <c r="W5" s="70"/>
      <c r="X5" s="10"/>
      <c r="Y5" s="10"/>
      <c r="Z5" s="10"/>
      <c r="AA5" s="10"/>
    </row>
    <row r="6">
      <c r="A6" s="55"/>
      <c r="B6" s="76">
        <f t="shared" ref="B6:B11" si="1">B5+1</f>
        <v>46035</v>
      </c>
      <c r="C6" s="78" t="s">
        <v>47</v>
      </c>
      <c r="D6" s="79"/>
      <c r="E6" s="62"/>
      <c r="F6" s="81"/>
      <c r="G6" s="81"/>
      <c r="H6" s="81"/>
      <c r="I6" s="81"/>
      <c r="J6" s="62"/>
      <c r="K6" s="83"/>
      <c r="L6" s="81"/>
      <c r="M6" s="81"/>
      <c r="N6" s="62"/>
      <c r="O6" s="81"/>
      <c r="P6" s="86"/>
      <c r="Q6" s="81"/>
      <c r="R6" s="81"/>
      <c r="S6" s="62"/>
      <c r="T6" s="81"/>
      <c r="U6" s="81"/>
      <c r="V6" s="91"/>
      <c r="W6" s="70"/>
      <c r="X6" s="10"/>
      <c r="Y6" s="10"/>
      <c r="Z6" s="10"/>
      <c r="AA6" s="10"/>
    </row>
    <row r="7">
      <c r="A7" s="55"/>
      <c r="B7" s="76">
        <f t="shared" si="1"/>
        <v>46036</v>
      </c>
      <c r="C7" s="78" t="s">
        <v>57</v>
      </c>
      <c r="D7" s="79"/>
      <c r="E7" s="62"/>
      <c r="F7" s="81"/>
      <c r="G7" s="81"/>
      <c r="H7" s="81"/>
      <c r="I7" s="81"/>
      <c r="J7" s="62"/>
      <c r="K7" s="83"/>
      <c r="L7" s="81"/>
      <c r="M7" s="81"/>
      <c r="N7" s="62"/>
      <c r="O7" s="81"/>
      <c r="P7" s="86"/>
      <c r="Q7" s="81"/>
      <c r="R7" s="81"/>
      <c r="S7" s="62"/>
      <c r="T7" s="81"/>
      <c r="U7" s="81"/>
      <c r="V7" s="91"/>
      <c r="W7" s="70"/>
      <c r="X7" s="10"/>
      <c r="Y7" s="10"/>
      <c r="Z7" s="10"/>
      <c r="AA7" s="10"/>
    </row>
    <row r="8">
      <c r="A8" s="55"/>
      <c r="B8" s="76">
        <f t="shared" si="1"/>
        <v>46037</v>
      </c>
      <c r="C8" s="78" t="s">
        <v>58</v>
      </c>
      <c r="D8" s="79"/>
      <c r="E8" s="62"/>
      <c r="F8" s="81"/>
      <c r="G8" s="81"/>
      <c r="H8" s="81"/>
      <c r="I8" s="81"/>
      <c r="J8" s="62"/>
      <c r="K8" s="83"/>
      <c r="L8" s="81"/>
      <c r="M8" s="83"/>
      <c r="N8" s="62"/>
      <c r="O8" s="81"/>
      <c r="P8" s="86"/>
      <c r="Q8" s="81"/>
      <c r="R8" s="81"/>
      <c r="S8" s="62"/>
      <c r="T8" s="81"/>
      <c r="U8" s="81"/>
      <c r="V8" s="91"/>
      <c r="W8" s="70"/>
      <c r="X8" s="10"/>
      <c r="Y8" s="10"/>
      <c r="Z8" s="10"/>
      <c r="AA8" s="10"/>
    </row>
    <row r="9">
      <c r="A9" s="55"/>
      <c r="B9" s="76">
        <f t="shared" si="1"/>
        <v>46038</v>
      </c>
      <c r="C9" s="78" t="s">
        <v>60</v>
      </c>
      <c r="D9" s="79"/>
      <c r="E9" s="62"/>
      <c r="F9" s="81"/>
      <c r="G9" s="81"/>
      <c r="H9" s="81"/>
      <c r="I9" s="81"/>
      <c r="J9" s="62"/>
      <c r="K9" s="83"/>
      <c r="L9" s="81"/>
      <c r="M9" s="81"/>
      <c r="N9" s="62"/>
      <c r="O9" s="81"/>
      <c r="P9" s="107"/>
      <c r="Q9" s="81"/>
      <c r="R9" s="81"/>
      <c r="S9" s="62"/>
      <c r="T9" s="81"/>
      <c r="U9" s="81"/>
      <c r="V9" s="91"/>
      <c r="W9" s="70"/>
      <c r="X9" s="10"/>
      <c r="Y9" s="10"/>
      <c r="Z9" s="10"/>
      <c r="AA9" s="10"/>
    </row>
    <row r="10">
      <c r="A10" s="55"/>
      <c r="B10" s="76">
        <f t="shared" si="1"/>
        <v>46039</v>
      </c>
      <c r="C10" s="78" t="s">
        <v>61</v>
      </c>
      <c r="D10" s="79"/>
      <c r="E10" s="62"/>
      <c r="F10" s="81"/>
      <c r="G10" s="81"/>
      <c r="H10" s="81"/>
      <c r="I10" s="81"/>
      <c r="J10" s="62"/>
      <c r="K10" s="81"/>
      <c r="L10" s="81"/>
      <c r="M10" s="81"/>
      <c r="N10" s="62"/>
      <c r="O10" s="81"/>
      <c r="P10" s="107"/>
      <c r="Q10" s="81"/>
      <c r="R10" s="81"/>
      <c r="S10" s="62"/>
      <c r="T10" s="81"/>
      <c r="U10" s="81"/>
      <c r="V10" s="91"/>
      <c r="W10" s="70"/>
      <c r="X10" s="10"/>
      <c r="Y10" s="10"/>
      <c r="Z10" s="10"/>
      <c r="AA10" s="10"/>
    </row>
    <row r="11">
      <c r="A11" s="55"/>
      <c r="B11" s="76">
        <f t="shared" si="1"/>
        <v>46040</v>
      </c>
      <c r="C11" s="113" t="s">
        <v>63</v>
      </c>
      <c r="D11" s="115"/>
      <c r="E11" s="62"/>
      <c r="F11" s="117"/>
      <c r="G11" s="117"/>
      <c r="H11" s="117"/>
      <c r="I11" s="117"/>
      <c r="J11" s="62"/>
      <c r="K11" s="117"/>
      <c r="L11" s="117"/>
      <c r="M11" s="117"/>
      <c r="N11" s="62"/>
      <c r="O11" s="117"/>
      <c r="P11" s="119"/>
      <c r="Q11" s="117"/>
      <c r="R11" s="117"/>
      <c r="S11" s="62"/>
      <c r="T11" s="117"/>
      <c r="U11" s="117"/>
      <c r="V11" s="120"/>
      <c r="W11" s="70"/>
      <c r="X11" s="10"/>
      <c r="Y11" s="10"/>
      <c r="Z11" s="10"/>
      <c r="AA11" s="10"/>
    </row>
    <row r="12">
      <c r="A12" s="122"/>
      <c r="B12" s="124" t="s">
        <v>64</v>
      </c>
      <c r="C12" s="125"/>
      <c r="D12" s="126" t="str">
        <f>IFERROR(AVERAGE(D5:D11),"")</f>
        <v/>
      </c>
      <c r="E12" s="127"/>
      <c r="F12" s="129" t="str">
        <f t="shared" ref="F12:I12" si="2">IFERROR(AVERAGE(F5:F11),"")</f>
        <v/>
      </c>
      <c r="G12" s="129" t="str">
        <f t="shared" si="2"/>
        <v/>
      </c>
      <c r="H12" s="129" t="str">
        <f t="shared" si="2"/>
        <v/>
      </c>
      <c r="I12" s="129" t="str">
        <f t="shared" si="2"/>
        <v/>
      </c>
      <c r="J12" s="127"/>
      <c r="K12" s="129" t="str">
        <f>IFERROR(AVERAGE(K5:K11),"")</f>
        <v/>
      </c>
      <c r="L12" s="129"/>
      <c r="M12" s="129" t="str">
        <f>IFERROR(AVERAGE(M5:M11),"")</f>
        <v/>
      </c>
      <c r="N12" s="127"/>
      <c r="O12" s="129" t="str">
        <f t="shared" ref="O12:Q12" si="3">IFERROR(AVERAGE(O5:O11),"")</f>
        <v/>
      </c>
      <c r="P12" s="130" t="str">
        <f t="shared" si="3"/>
        <v/>
      </c>
      <c r="Q12" s="131" t="str">
        <f t="shared" si="3"/>
        <v/>
      </c>
      <c r="R12" s="129"/>
      <c r="S12" s="127"/>
      <c r="T12" s="129" t="str">
        <f t="shared" ref="T12:V12" si="4">IFERROR(AVERAGE(T5:T11),"")</f>
        <v/>
      </c>
      <c r="U12" s="129" t="str">
        <f t="shared" si="4"/>
        <v/>
      </c>
      <c r="V12" s="129" t="str">
        <f t="shared" si="4"/>
        <v/>
      </c>
      <c r="W12" s="132"/>
      <c r="X12" s="10"/>
      <c r="Y12" s="10"/>
      <c r="Z12" s="10"/>
      <c r="AA12" s="10"/>
    </row>
    <row r="13">
      <c r="A13" s="10"/>
      <c r="B13" s="7"/>
      <c r="C13" s="7"/>
      <c r="D13" s="2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24"/>
      <c r="Q13" s="7"/>
      <c r="R13" s="135"/>
      <c r="S13" s="7"/>
      <c r="T13" s="7"/>
      <c r="U13" s="7"/>
      <c r="V13" s="7"/>
      <c r="W13" s="10"/>
      <c r="X13" s="10"/>
      <c r="Y13" s="10"/>
      <c r="Z13" s="10"/>
      <c r="AA13" s="10"/>
    </row>
    <row r="14">
      <c r="A14" s="27">
        <f>A4+1</f>
        <v>2</v>
      </c>
      <c r="B14" s="28" t="s">
        <v>1</v>
      </c>
      <c r="C14" s="29" t="s">
        <v>9</v>
      </c>
      <c r="D14" s="30" t="s">
        <v>11</v>
      </c>
      <c r="E14" s="33" t="s">
        <v>13</v>
      </c>
      <c r="F14" s="36" t="s">
        <v>15</v>
      </c>
      <c r="G14" s="36" t="s">
        <v>16</v>
      </c>
      <c r="H14" s="36" t="s">
        <v>17</v>
      </c>
      <c r="I14" s="36" t="s">
        <v>18</v>
      </c>
      <c r="J14" s="33" t="s">
        <v>3</v>
      </c>
      <c r="K14" s="36" t="s">
        <v>66</v>
      </c>
      <c r="L14" s="36" t="s">
        <v>20</v>
      </c>
      <c r="M14" s="36" t="s">
        <v>21</v>
      </c>
      <c r="N14" s="33" t="s">
        <v>22</v>
      </c>
      <c r="O14" s="36" t="s">
        <v>23</v>
      </c>
      <c r="P14" s="43" t="s">
        <v>24</v>
      </c>
      <c r="Q14" s="36" t="s">
        <v>25</v>
      </c>
      <c r="R14" s="44" t="s">
        <v>26</v>
      </c>
      <c r="S14" s="33" t="s">
        <v>27</v>
      </c>
      <c r="T14" s="36" t="s">
        <v>28</v>
      </c>
      <c r="U14" s="36" t="s">
        <v>30</v>
      </c>
      <c r="V14" s="47" t="s">
        <v>31</v>
      </c>
      <c r="W14" s="54" t="s">
        <v>34</v>
      </c>
      <c r="X14" s="10"/>
      <c r="Y14" s="10"/>
      <c r="Z14" s="10"/>
      <c r="AA14" s="10"/>
    </row>
    <row r="15">
      <c r="A15" s="55"/>
      <c r="B15" s="57">
        <f>B11+1</f>
        <v>46041</v>
      </c>
      <c r="C15" s="59" t="s">
        <v>41</v>
      </c>
      <c r="D15" s="61"/>
      <c r="E15" s="62"/>
      <c r="F15" s="63"/>
      <c r="G15" s="63"/>
      <c r="H15" s="63"/>
      <c r="I15" s="63"/>
      <c r="J15" s="62"/>
      <c r="K15" s="64"/>
      <c r="L15" s="63"/>
      <c r="M15" s="64"/>
      <c r="N15" s="62"/>
      <c r="O15" s="63"/>
      <c r="P15" s="66"/>
      <c r="Q15" s="63"/>
      <c r="R15" s="64"/>
      <c r="S15" s="62"/>
      <c r="T15" s="63"/>
      <c r="U15" s="63"/>
      <c r="V15" s="68"/>
      <c r="W15" s="70"/>
      <c r="X15" s="10"/>
      <c r="Y15" s="10"/>
      <c r="Z15" s="10"/>
      <c r="AA15" s="10"/>
    </row>
    <row r="16">
      <c r="A16" s="55"/>
      <c r="B16" s="76">
        <f t="shared" ref="B16:B21" si="5">B15+1</f>
        <v>46042</v>
      </c>
      <c r="C16" s="78" t="s">
        <v>47</v>
      </c>
      <c r="D16" s="79"/>
      <c r="E16" s="62"/>
      <c r="F16" s="81"/>
      <c r="G16" s="81"/>
      <c r="H16" s="81"/>
      <c r="I16" s="81"/>
      <c r="J16" s="62"/>
      <c r="K16" s="83"/>
      <c r="L16" s="81"/>
      <c r="M16" s="81"/>
      <c r="N16" s="62"/>
      <c r="O16" s="81"/>
      <c r="P16" s="86"/>
      <c r="Q16" s="81"/>
      <c r="R16" s="81"/>
      <c r="S16" s="62"/>
      <c r="T16" s="81"/>
      <c r="U16" s="81"/>
      <c r="V16" s="91"/>
      <c r="W16" s="70"/>
      <c r="X16" s="10"/>
      <c r="Y16" s="10"/>
      <c r="Z16" s="10"/>
      <c r="AA16" s="10"/>
    </row>
    <row r="17">
      <c r="A17" s="55"/>
      <c r="B17" s="76">
        <f t="shared" si="5"/>
        <v>46043</v>
      </c>
      <c r="C17" s="78" t="s">
        <v>57</v>
      </c>
      <c r="D17" s="79"/>
      <c r="E17" s="62"/>
      <c r="F17" s="81"/>
      <c r="G17" s="81"/>
      <c r="H17" s="81"/>
      <c r="I17" s="81"/>
      <c r="J17" s="62"/>
      <c r="K17" s="83"/>
      <c r="L17" s="81"/>
      <c r="M17" s="81"/>
      <c r="N17" s="62"/>
      <c r="O17" s="81"/>
      <c r="P17" s="86"/>
      <c r="Q17" s="81"/>
      <c r="R17" s="81"/>
      <c r="S17" s="62"/>
      <c r="T17" s="81"/>
      <c r="U17" s="81"/>
      <c r="V17" s="91"/>
      <c r="W17" s="70"/>
      <c r="X17" s="10"/>
      <c r="Y17" s="10"/>
      <c r="Z17" s="10"/>
      <c r="AA17" s="10"/>
    </row>
    <row r="18">
      <c r="A18" s="55"/>
      <c r="B18" s="76">
        <f t="shared" si="5"/>
        <v>46044</v>
      </c>
      <c r="C18" s="78" t="s">
        <v>58</v>
      </c>
      <c r="D18" s="79"/>
      <c r="E18" s="62"/>
      <c r="F18" s="81"/>
      <c r="G18" s="81"/>
      <c r="H18" s="81"/>
      <c r="I18" s="81"/>
      <c r="J18" s="62"/>
      <c r="K18" s="83"/>
      <c r="L18" s="81"/>
      <c r="M18" s="81"/>
      <c r="N18" s="62"/>
      <c r="O18" s="81"/>
      <c r="P18" s="86"/>
      <c r="Q18" s="81"/>
      <c r="R18" s="81"/>
      <c r="S18" s="62"/>
      <c r="T18" s="81"/>
      <c r="U18" s="81"/>
      <c r="V18" s="91"/>
      <c r="W18" s="70"/>
      <c r="X18" s="10"/>
      <c r="Y18" s="10"/>
      <c r="Z18" s="10"/>
      <c r="AA18" s="10"/>
    </row>
    <row r="19">
      <c r="A19" s="55"/>
      <c r="B19" s="76">
        <f t="shared" si="5"/>
        <v>46045</v>
      </c>
      <c r="C19" s="78" t="s">
        <v>60</v>
      </c>
      <c r="D19" s="79"/>
      <c r="E19" s="62"/>
      <c r="F19" s="81"/>
      <c r="G19" s="81"/>
      <c r="H19" s="81"/>
      <c r="I19" s="81"/>
      <c r="J19" s="62"/>
      <c r="K19" s="83"/>
      <c r="L19" s="81"/>
      <c r="M19" s="81"/>
      <c r="N19" s="62"/>
      <c r="O19" s="81"/>
      <c r="P19" s="86"/>
      <c r="Q19" s="81"/>
      <c r="R19" s="81"/>
      <c r="S19" s="62"/>
      <c r="T19" s="81"/>
      <c r="U19" s="81"/>
      <c r="V19" s="91"/>
      <c r="W19" s="70"/>
      <c r="X19" s="10"/>
      <c r="Y19" s="10"/>
      <c r="Z19" s="10"/>
      <c r="AA19" s="10"/>
    </row>
    <row r="20">
      <c r="A20" s="55"/>
      <c r="B20" s="76">
        <f t="shared" si="5"/>
        <v>46046</v>
      </c>
      <c r="C20" s="78" t="s">
        <v>61</v>
      </c>
      <c r="D20" s="79"/>
      <c r="E20" s="62"/>
      <c r="F20" s="81"/>
      <c r="G20" s="81"/>
      <c r="H20" s="81"/>
      <c r="I20" s="81"/>
      <c r="J20" s="62"/>
      <c r="K20" s="81"/>
      <c r="L20" s="81"/>
      <c r="M20" s="81"/>
      <c r="N20" s="62"/>
      <c r="O20" s="81"/>
      <c r="P20" s="86"/>
      <c r="Q20" s="81"/>
      <c r="R20" s="81"/>
      <c r="S20" s="62"/>
      <c r="T20" s="81"/>
      <c r="U20" s="81"/>
      <c r="V20" s="91"/>
      <c r="W20" s="70"/>
      <c r="X20" s="10"/>
      <c r="Y20" s="10"/>
      <c r="Z20" s="10"/>
      <c r="AA20" s="10"/>
    </row>
    <row r="21">
      <c r="A21" s="55"/>
      <c r="B21" s="76">
        <f t="shared" si="5"/>
        <v>46047</v>
      </c>
      <c r="C21" s="113" t="s">
        <v>63</v>
      </c>
      <c r="D21" s="156"/>
      <c r="E21" s="62"/>
      <c r="F21" s="117"/>
      <c r="G21" s="117"/>
      <c r="H21" s="117"/>
      <c r="I21" s="117"/>
      <c r="J21" s="62"/>
      <c r="K21" s="117"/>
      <c r="L21" s="117"/>
      <c r="M21" s="117"/>
      <c r="N21" s="62"/>
      <c r="O21" s="117"/>
      <c r="P21" s="157"/>
      <c r="Q21" s="117"/>
      <c r="R21" s="117"/>
      <c r="S21" s="62"/>
      <c r="T21" s="117"/>
      <c r="U21" s="117"/>
      <c r="V21" s="120"/>
      <c r="W21" s="70"/>
      <c r="X21" s="10"/>
      <c r="Y21" s="10"/>
      <c r="Z21" s="10"/>
      <c r="AA21" s="10"/>
    </row>
    <row r="22">
      <c r="A22" s="122"/>
      <c r="B22" s="124" t="s">
        <v>64</v>
      </c>
      <c r="C22" s="125"/>
      <c r="D22" s="126" t="str">
        <f>IFERROR(AVERAGE(D15:D21),"")</f>
        <v/>
      </c>
      <c r="E22" s="127"/>
      <c r="F22" s="129" t="str">
        <f t="shared" ref="F22:I22" si="6">IFERROR(AVERAGE(F15:F21),"")</f>
        <v/>
      </c>
      <c r="G22" s="129" t="str">
        <f t="shared" si="6"/>
        <v/>
      </c>
      <c r="H22" s="129" t="str">
        <f t="shared" si="6"/>
        <v/>
      </c>
      <c r="I22" s="129" t="str">
        <f t="shared" si="6"/>
        <v/>
      </c>
      <c r="J22" s="127"/>
      <c r="K22" s="129" t="str">
        <f>IFERROR(AVERAGE(K15:K21),"")</f>
        <v/>
      </c>
      <c r="L22" s="129"/>
      <c r="M22" s="129" t="str">
        <f>IFERROR(AVERAGE(M15:M21),"")</f>
        <v/>
      </c>
      <c r="N22" s="127"/>
      <c r="O22" s="129" t="str">
        <f t="shared" ref="O22:Q22" si="7">IFERROR(AVERAGE(O15:O21),"")</f>
        <v/>
      </c>
      <c r="P22" s="130" t="str">
        <f t="shared" si="7"/>
        <v/>
      </c>
      <c r="Q22" s="129" t="str">
        <f t="shared" si="7"/>
        <v/>
      </c>
      <c r="R22" s="129"/>
      <c r="S22" s="127"/>
      <c r="T22" s="129" t="str">
        <f t="shared" ref="T22:V22" si="8">IFERROR(AVERAGE(T15:T21),"")</f>
        <v/>
      </c>
      <c r="U22" s="129" t="str">
        <f t="shared" si="8"/>
        <v/>
      </c>
      <c r="V22" s="129" t="str">
        <f t="shared" si="8"/>
        <v/>
      </c>
      <c r="W22" s="132"/>
      <c r="X22" s="10"/>
      <c r="Y22" s="10"/>
      <c r="Z22" s="10"/>
      <c r="AA22" s="10"/>
    </row>
    <row r="23">
      <c r="A23" s="10"/>
      <c r="B23" s="7"/>
      <c r="C23" s="7"/>
      <c r="D23" s="2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4"/>
      <c r="Q23" s="7"/>
      <c r="R23" s="7"/>
      <c r="S23" s="7"/>
      <c r="T23" s="7"/>
      <c r="U23" s="7"/>
      <c r="V23" s="7"/>
      <c r="W23" s="10"/>
      <c r="X23" s="10"/>
      <c r="Y23" s="10"/>
      <c r="Z23" s="10"/>
      <c r="AA23" s="10"/>
    </row>
    <row r="24">
      <c r="A24" s="27">
        <f>A14+1</f>
        <v>3</v>
      </c>
      <c r="B24" s="28" t="s">
        <v>1</v>
      </c>
      <c r="C24" s="29" t="s">
        <v>9</v>
      </c>
      <c r="D24" s="30" t="s">
        <v>11</v>
      </c>
      <c r="E24" s="33" t="s">
        <v>13</v>
      </c>
      <c r="F24" s="36" t="s">
        <v>15</v>
      </c>
      <c r="G24" s="36" t="s">
        <v>16</v>
      </c>
      <c r="H24" s="36" t="s">
        <v>17</v>
      </c>
      <c r="I24" s="36" t="s">
        <v>18</v>
      </c>
      <c r="J24" s="33" t="s">
        <v>3</v>
      </c>
      <c r="K24" s="36" t="s">
        <v>66</v>
      </c>
      <c r="L24" s="36" t="s">
        <v>20</v>
      </c>
      <c r="M24" s="36" t="s">
        <v>21</v>
      </c>
      <c r="N24" s="33" t="s">
        <v>22</v>
      </c>
      <c r="O24" s="36" t="s">
        <v>23</v>
      </c>
      <c r="P24" s="43" t="s">
        <v>24</v>
      </c>
      <c r="Q24" s="36" t="s">
        <v>25</v>
      </c>
      <c r="R24" s="44" t="s">
        <v>26</v>
      </c>
      <c r="S24" s="33" t="s">
        <v>27</v>
      </c>
      <c r="T24" s="36" t="s">
        <v>28</v>
      </c>
      <c r="U24" s="36" t="s">
        <v>30</v>
      </c>
      <c r="V24" s="47" t="s">
        <v>31</v>
      </c>
      <c r="W24" s="54" t="s">
        <v>34</v>
      </c>
      <c r="X24" s="10"/>
      <c r="Y24" s="10"/>
      <c r="Z24" s="10"/>
      <c r="AA24" s="10"/>
    </row>
    <row r="25">
      <c r="A25" s="55"/>
      <c r="B25" s="57">
        <f>B21+1</f>
        <v>46048</v>
      </c>
      <c r="C25" s="59" t="s">
        <v>41</v>
      </c>
      <c r="D25" s="61"/>
      <c r="E25" s="62"/>
      <c r="F25" s="63"/>
      <c r="G25" s="63"/>
      <c r="H25" s="63"/>
      <c r="I25" s="63"/>
      <c r="J25" s="62"/>
      <c r="K25" s="64"/>
      <c r="L25" s="63"/>
      <c r="M25" s="64"/>
      <c r="N25" s="62"/>
      <c r="O25" s="63"/>
      <c r="P25" s="66"/>
      <c r="Q25" s="63"/>
      <c r="R25" s="64"/>
      <c r="S25" s="62"/>
      <c r="T25" s="63"/>
      <c r="U25" s="63"/>
      <c r="V25" s="68"/>
      <c r="W25" s="70"/>
      <c r="X25" s="10"/>
      <c r="Y25" s="10"/>
      <c r="Z25" s="10"/>
      <c r="AA25" s="10"/>
    </row>
    <row r="26">
      <c r="A26" s="55"/>
      <c r="B26" s="76">
        <f t="shared" ref="B26:B31" si="9">B25+1</f>
        <v>46049</v>
      </c>
      <c r="C26" s="78" t="s">
        <v>47</v>
      </c>
      <c r="D26" s="79"/>
      <c r="E26" s="62"/>
      <c r="F26" s="81"/>
      <c r="G26" s="81"/>
      <c r="H26" s="81"/>
      <c r="I26" s="81"/>
      <c r="J26" s="62"/>
      <c r="K26" s="83"/>
      <c r="L26" s="81"/>
      <c r="M26" s="81"/>
      <c r="N26" s="62"/>
      <c r="O26" s="81"/>
      <c r="P26" s="86"/>
      <c r="Q26" s="81"/>
      <c r="R26" s="81"/>
      <c r="S26" s="62"/>
      <c r="T26" s="81"/>
      <c r="U26" s="81"/>
      <c r="V26" s="91"/>
      <c r="W26" s="70"/>
      <c r="X26" s="10"/>
      <c r="Y26" s="10"/>
      <c r="Z26" s="10"/>
      <c r="AA26" s="10"/>
    </row>
    <row r="27">
      <c r="A27" s="55"/>
      <c r="B27" s="76">
        <f t="shared" si="9"/>
        <v>46050</v>
      </c>
      <c r="C27" s="78" t="s">
        <v>57</v>
      </c>
      <c r="D27" s="79"/>
      <c r="E27" s="62"/>
      <c r="F27" s="81"/>
      <c r="G27" s="81"/>
      <c r="H27" s="81"/>
      <c r="I27" s="81"/>
      <c r="J27" s="62"/>
      <c r="K27" s="83"/>
      <c r="L27" s="81"/>
      <c r="M27" s="81"/>
      <c r="N27" s="62"/>
      <c r="O27" s="81"/>
      <c r="P27" s="86"/>
      <c r="Q27" s="81"/>
      <c r="R27" s="81"/>
      <c r="S27" s="62"/>
      <c r="T27" s="81"/>
      <c r="U27" s="81"/>
      <c r="V27" s="91"/>
      <c r="W27" s="70"/>
      <c r="X27" s="10"/>
      <c r="Y27" s="10"/>
      <c r="Z27" s="10"/>
      <c r="AA27" s="10"/>
    </row>
    <row r="28">
      <c r="A28" s="55"/>
      <c r="B28" s="76">
        <f t="shared" si="9"/>
        <v>46051</v>
      </c>
      <c r="C28" s="78" t="s">
        <v>58</v>
      </c>
      <c r="D28" s="79"/>
      <c r="E28" s="62"/>
      <c r="F28" s="81"/>
      <c r="G28" s="81"/>
      <c r="H28" s="81"/>
      <c r="I28" s="81"/>
      <c r="J28" s="62"/>
      <c r="K28" s="83"/>
      <c r="L28" s="81"/>
      <c r="M28" s="81"/>
      <c r="N28" s="62"/>
      <c r="O28" s="81"/>
      <c r="P28" s="86"/>
      <c r="Q28" s="81"/>
      <c r="R28" s="81"/>
      <c r="S28" s="62"/>
      <c r="T28" s="81"/>
      <c r="U28" s="81"/>
      <c r="V28" s="91"/>
      <c r="W28" s="70"/>
      <c r="X28" s="10"/>
      <c r="Y28" s="10"/>
      <c r="Z28" s="10"/>
      <c r="AA28" s="10"/>
    </row>
    <row r="29">
      <c r="A29" s="55"/>
      <c r="B29" s="76">
        <f t="shared" si="9"/>
        <v>46052</v>
      </c>
      <c r="C29" s="78" t="s">
        <v>60</v>
      </c>
      <c r="D29" s="79"/>
      <c r="E29" s="62"/>
      <c r="F29" s="81"/>
      <c r="G29" s="81"/>
      <c r="H29" s="81"/>
      <c r="I29" s="81"/>
      <c r="J29" s="62"/>
      <c r="K29" s="83"/>
      <c r="L29" s="81"/>
      <c r="M29" s="81"/>
      <c r="N29" s="62"/>
      <c r="O29" s="81"/>
      <c r="P29" s="86"/>
      <c r="Q29" s="81"/>
      <c r="R29" s="81"/>
      <c r="S29" s="62"/>
      <c r="T29" s="81"/>
      <c r="U29" s="81"/>
      <c r="V29" s="91"/>
      <c r="W29" s="70"/>
      <c r="X29" s="10"/>
      <c r="Y29" s="10"/>
      <c r="Z29" s="10"/>
      <c r="AA29" s="10"/>
    </row>
    <row r="30">
      <c r="A30" s="55"/>
      <c r="B30" s="76">
        <f t="shared" si="9"/>
        <v>46053</v>
      </c>
      <c r="C30" s="78" t="s">
        <v>61</v>
      </c>
      <c r="D30" s="79"/>
      <c r="E30" s="62"/>
      <c r="F30" s="81"/>
      <c r="G30" s="81"/>
      <c r="H30" s="81"/>
      <c r="I30" s="81"/>
      <c r="J30" s="62"/>
      <c r="K30" s="81"/>
      <c r="L30" s="81"/>
      <c r="M30" s="81"/>
      <c r="N30" s="62"/>
      <c r="O30" s="81"/>
      <c r="P30" s="86"/>
      <c r="Q30" s="81"/>
      <c r="R30" s="81"/>
      <c r="S30" s="62"/>
      <c r="T30" s="81"/>
      <c r="U30" s="81"/>
      <c r="V30" s="91"/>
      <c r="W30" s="70"/>
      <c r="X30" s="10"/>
      <c r="Y30" s="10"/>
      <c r="Z30" s="10"/>
      <c r="AA30" s="10"/>
    </row>
    <row r="31">
      <c r="A31" s="55"/>
      <c r="B31" s="76">
        <f t="shared" si="9"/>
        <v>46054</v>
      </c>
      <c r="C31" s="113" t="s">
        <v>63</v>
      </c>
      <c r="D31" s="156"/>
      <c r="E31" s="62"/>
      <c r="F31" s="117"/>
      <c r="G31" s="117"/>
      <c r="H31" s="117"/>
      <c r="I31" s="117"/>
      <c r="J31" s="62"/>
      <c r="K31" s="117"/>
      <c r="L31" s="117"/>
      <c r="M31" s="117"/>
      <c r="N31" s="62"/>
      <c r="O31" s="117"/>
      <c r="P31" s="157"/>
      <c r="Q31" s="117"/>
      <c r="R31" s="117"/>
      <c r="S31" s="62"/>
      <c r="T31" s="117"/>
      <c r="U31" s="117"/>
      <c r="V31" s="120"/>
      <c r="W31" s="70"/>
      <c r="X31" s="10"/>
      <c r="Y31" s="10"/>
      <c r="Z31" s="10"/>
      <c r="AA31" s="10"/>
    </row>
    <row r="32">
      <c r="A32" s="122"/>
      <c r="B32" s="124" t="s">
        <v>64</v>
      </c>
      <c r="C32" s="125"/>
      <c r="D32" s="126" t="str">
        <f>IFERROR(AVERAGE(D25:D31),"")</f>
        <v/>
      </c>
      <c r="E32" s="127"/>
      <c r="F32" s="129" t="str">
        <f t="shared" ref="F32:I32" si="10">IFERROR(AVERAGE(F25:F31),"")</f>
        <v/>
      </c>
      <c r="G32" s="129" t="str">
        <f t="shared" si="10"/>
        <v/>
      </c>
      <c r="H32" s="129" t="str">
        <f t="shared" si="10"/>
        <v/>
      </c>
      <c r="I32" s="129" t="str">
        <f t="shared" si="10"/>
        <v/>
      </c>
      <c r="J32" s="127"/>
      <c r="K32" s="129" t="str">
        <f>IFERROR(AVERAGE(K25:K31),"")</f>
        <v/>
      </c>
      <c r="L32" s="129"/>
      <c r="M32" s="129" t="str">
        <f>IFERROR(AVERAGE(M25:M31),"")</f>
        <v/>
      </c>
      <c r="N32" s="127"/>
      <c r="O32" s="129" t="str">
        <f t="shared" ref="O32:Q32" si="11">IFERROR(AVERAGE(O25:O31),"")</f>
        <v/>
      </c>
      <c r="P32" s="130" t="str">
        <f t="shared" si="11"/>
        <v/>
      </c>
      <c r="Q32" s="129" t="str">
        <f t="shared" si="11"/>
        <v/>
      </c>
      <c r="R32" s="129"/>
      <c r="S32" s="127"/>
      <c r="T32" s="129" t="str">
        <f t="shared" ref="T32:V32" si="12">IFERROR(AVERAGE(T25:T31),"")</f>
        <v/>
      </c>
      <c r="U32" s="129" t="str">
        <f t="shared" si="12"/>
        <v/>
      </c>
      <c r="V32" s="129" t="str">
        <f t="shared" si="12"/>
        <v/>
      </c>
      <c r="W32" s="132"/>
      <c r="X32" s="10"/>
      <c r="Y32" s="10"/>
      <c r="Z32" s="10"/>
      <c r="AA32" s="10"/>
    </row>
    <row r="33">
      <c r="A33" s="10"/>
      <c r="B33" s="7"/>
      <c r="C33" s="7"/>
      <c r="D33" s="2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24"/>
      <c r="Q33" s="7"/>
      <c r="R33" s="7"/>
      <c r="S33" s="7"/>
      <c r="T33" s="7"/>
      <c r="U33" s="7"/>
      <c r="V33" s="7"/>
      <c r="W33" s="10"/>
      <c r="X33" s="10"/>
      <c r="Y33" s="10"/>
      <c r="Z33" s="10"/>
      <c r="AA33" s="10"/>
    </row>
    <row r="34">
      <c r="A34" s="27">
        <f>A24+1</f>
        <v>4</v>
      </c>
      <c r="B34" s="28" t="s">
        <v>1</v>
      </c>
      <c r="C34" s="29" t="s">
        <v>9</v>
      </c>
      <c r="D34" s="30" t="s">
        <v>11</v>
      </c>
      <c r="E34" s="33" t="s">
        <v>13</v>
      </c>
      <c r="F34" s="36" t="s">
        <v>15</v>
      </c>
      <c r="G34" s="36" t="s">
        <v>16</v>
      </c>
      <c r="H34" s="36" t="s">
        <v>17</v>
      </c>
      <c r="I34" s="36" t="s">
        <v>18</v>
      </c>
      <c r="J34" s="33" t="s">
        <v>3</v>
      </c>
      <c r="K34" s="36" t="s">
        <v>66</v>
      </c>
      <c r="L34" s="36" t="s">
        <v>20</v>
      </c>
      <c r="M34" s="36" t="s">
        <v>21</v>
      </c>
      <c r="N34" s="33" t="s">
        <v>22</v>
      </c>
      <c r="O34" s="36" t="s">
        <v>23</v>
      </c>
      <c r="P34" s="43" t="s">
        <v>24</v>
      </c>
      <c r="Q34" s="36" t="s">
        <v>25</v>
      </c>
      <c r="R34" s="44" t="s">
        <v>26</v>
      </c>
      <c r="S34" s="33" t="s">
        <v>27</v>
      </c>
      <c r="T34" s="36" t="s">
        <v>28</v>
      </c>
      <c r="U34" s="36" t="s">
        <v>30</v>
      </c>
      <c r="V34" s="47" t="s">
        <v>31</v>
      </c>
      <c r="W34" s="54" t="s">
        <v>34</v>
      </c>
      <c r="X34" s="10"/>
      <c r="Y34" s="10"/>
      <c r="Z34" s="10"/>
      <c r="AA34" s="10"/>
    </row>
    <row r="35">
      <c r="A35" s="55"/>
      <c r="B35" s="57">
        <f>B31+1</f>
        <v>46055</v>
      </c>
      <c r="C35" s="59" t="s">
        <v>41</v>
      </c>
      <c r="D35" s="61"/>
      <c r="E35" s="62"/>
      <c r="F35" s="63"/>
      <c r="G35" s="63"/>
      <c r="H35" s="63"/>
      <c r="I35" s="63"/>
      <c r="J35" s="62"/>
      <c r="K35" s="64"/>
      <c r="L35" s="63"/>
      <c r="M35" s="64"/>
      <c r="N35" s="62"/>
      <c r="O35" s="63"/>
      <c r="P35" s="66"/>
      <c r="Q35" s="63"/>
      <c r="R35" s="64"/>
      <c r="S35" s="62"/>
      <c r="T35" s="63"/>
      <c r="U35" s="63"/>
      <c r="V35" s="68"/>
      <c r="W35" s="70"/>
      <c r="X35" s="10"/>
      <c r="Y35" s="10"/>
      <c r="Z35" s="10"/>
      <c r="AA35" s="10"/>
    </row>
    <row r="36">
      <c r="A36" s="55"/>
      <c r="B36" s="76">
        <f t="shared" ref="B36:B41" si="13">B35+1</f>
        <v>46056</v>
      </c>
      <c r="C36" s="78" t="s">
        <v>47</v>
      </c>
      <c r="D36" s="79"/>
      <c r="E36" s="62"/>
      <c r="F36" s="81"/>
      <c r="G36" s="81"/>
      <c r="H36" s="81"/>
      <c r="I36" s="81"/>
      <c r="J36" s="62"/>
      <c r="K36" s="83"/>
      <c r="L36" s="81"/>
      <c r="M36" s="81"/>
      <c r="N36" s="62"/>
      <c r="O36" s="81"/>
      <c r="P36" s="86"/>
      <c r="Q36" s="81"/>
      <c r="R36" s="81"/>
      <c r="S36" s="62"/>
      <c r="T36" s="81"/>
      <c r="U36" s="81"/>
      <c r="V36" s="91"/>
      <c r="W36" s="70"/>
      <c r="X36" s="10"/>
      <c r="Y36" s="10"/>
      <c r="Z36" s="10"/>
      <c r="AA36" s="10"/>
    </row>
    <row r="37">
      <c r="A37" s="55"/>
      <c r="B37" s="76">
        <f t="shared" si="13"/>
        <v>46057</v>
      </c>
      <c r="C37" s="78" t="s">
        <v>57</v>
      </c>
      <c r="D37" s="79"/>
      <c r="E37" s="62"/>
      <c r="F37" s="81"/>
      <c r="G37" s="81"/>
      <c r="H37" s="81"/>
      <c r="I37" s="81"/>
      <c r="J37" s="62"/>
      <c r="K37" s="83"/>
      <c r="L37" s="81"/>
      <c r="M37" s="81"/>
      <c r="N37" s="62"/>
      <c r="O37" s="81"/>
      <c r="P37" s="86"/>
      <c r="Q37" s="81"/>
      <c r="R37" s="81"/>
      <c r="S37" s="62"/>
      <c r="T37" s="81"/>
      <c r="U37" s="81"/>
      <c r="V37" s="91"/>
      <c r="W37" s="70"/>
      <c r="X37" s="10"/>
      <c r="Y37" s="10"/>
      <c r="Z37" s="10"/>
      <c r="AA37" s="10"/>
    </row>
    <row r="38">
      <c r="A38" s="55"/>
      <c r="B38" s="76">
        <f t="shared" si="13"/>
        <v>46058</v>
      </c>
      <c r="C38" s="78" t="s">
        <v>58</v>
      </c>
      <c r="D38" s="79"/>
      <c r="E38" s="62"/>
      <c r="F38" s="81"/>
      <c r="G38" s="81"/>
      <c r="H38" s="81"/>
      <c r="I38" s="81"/>
      <c r="J38" s="62"/>
      <c r="K38" s="83"/>
      <c r="L38" s="81"/>
      <c r="M38" s="81"/>
      <c r="N38" s="62"/>
      <c r="O38" s="81"/>
      <c r="P38" s="86"/>
      <c r="Q38" s="81"/>
      <c r="R38" s="81"/>
      <c r="S38" s="62"/>
      <c r="T38" s="81"/>
      <c r="U38" s="81"/>
      <c r="V38" s="91"/>
      <c r="W38" s="70"/>
      <c r="X38" s="10"/>
      <c r="Y38" s="10"/>
      <c r="Z38" s="10"/>
      <c r="AA38" s="10"/>
    </row>
    <row r="39">
      <c r="A39" s="55"/>
      <c r="B39" s="76">
        <f t="shared" si="13"/>
        <v>46059</v>
      </c>
      <c r="C39" s="78" t="s">
        <v>60</v>
      </c>
      <c r="D39" s="79"/>
      <c r="E39" s="62"/>
      <c r="F39" s="81"/>
      <c r="G39" s="81"/>
      <c r="H39" s="81"/>
      <c r="I39" s="81"/>
      <c r="J39" s="62"/>
      <c r="K39" s="83"/>
      <c r="L39" s="81"/>
      <c r="M39" s="81"/>
      <c r="N39" s="62"/>
      <c r="O39" s="81"/>
      <c r="P39" s="86"/>
      <c r="Q39" s="81"/>
      <c r="R39" s="81"/>
      <c r="S39" s="62"/>
      <c r="T39" s="81"/>
      <c r="U39" s="81"/>
      <c r="V39" s="91"/>
      <c r="W39" s="70"/>
      <c r="X39" s="10"/>
      <c r="Y39" s="10"/>
      <c r="Z39" s="10"/>
      <c r="AA39" s="10"/>
    </row>
    <row r="40">
      <c r="A40" s="55"/>
      <c r="B40" s="76">
        <f t="shared" si="13"/>
        <v>46060</v>
      </c>
      <c r="C40" s="78" t="s">
        <v>61</v>
      </c>
      <c r="D40" s="79"/>
      <c r="E40" s="62"/>
      <c r="F40" s="81"/>
      <c r="G40" s="81"/>
      <c r="H40" s="81"/>
      <c r="I40" s="81"/>
      <c r="J40" s="62"/>
      <c r="K40" s="81"/>
      <c r="L40" s="81"/>
      <c r="M40" s="81"/>
      <c r="N40" s="62"/>
      <c r="O40" s="81"/>
      <c r="P40" s="86"/>
      <c r="Q40" s="81"/>
      <c r="R40" s="81"/>
      <c r="S40" s="62"/>
      <c r="T40" s="81"/>
      <c r="U40" s="81"/>
      <c r="V40" s="91"/>
      <c r="W40" s="70"/>
      <c r="X40" s="10"/>
      <c r="Y40" s="10"/>
      <c r="Z40" s="10"/>
      <c r="AA40" s="10"/>
    </row>
    <row r="41">
      <c r="A41" s="55"/>
      <c r="B41" s="76">
        <f t="shared" si="13"/>
        <v>46061</v>
      </c>
      <c r="C41" s="113" t="s">
        <v>63</v>
      </c>
      <c r="D41" s="156"/>
      <c r="E41" s="62"/>
      <c r="F41" s="117"/>
      <c r="G41" s="117"/>
      <c r="H41" s="117"/>
      <c r="I41" s="117"/>
      <c r="J41" s="62"/>
      <c r="K41" s="117"/>
      <c r="L41" s="117"/>
      <c r="M41" s="117"/>
      <c r="N41" s="62"/>
      <c r="O41" s="117"/>
      <c r="P41" s="157"/>
      <c r="Q41" s="117"/>
      <c r="R41" s="117"/>
      <c r="S41" s="62"/>
      <c r="T41" s="117"/>
      <c r="U41" s="117"/>
      <c r="V41" s="120"/>
      <c r="W41" s="70"/>
      <c r="X41" s="10"/>
      <c r="Y41" s="10"/>
      <c r="Z41" s="10"/>
      <c r="AA41" s="10"/>
    </row>
    <row r="42">
      <c r="A42" s="122"/>
      <c r="B42" s="124" t="s">
        <v>64</v>
      </c>
      <c r="C42" s="125"/>
      <c r="D42" s="126" t="str">
        <f>IFERROR(AVERAGE(D35:D41),"")</f>
        <v/>
      </c>
      <c r="E42" s="127"/>
      <c r="F42" s="129" t="str">
        <f t="shared" ref="F42:I42" si="14">IFERROR(AVERAGE(F35:F41),"")</f>
        <v/>
      </c>
      <c r="G42" s="129" t="str">
        <f t="shared" si="14"/>
        <v/>
      </c>
      <c r="H42" s="129" t="str">
        <f t="shared" si="14"/>
        <v/>
      </c>
      <c r="I42" s="129" t="str">
        <f t="shared" si="14"/>
        <v/>
      </c>
      <c r="J42" s="127"/>
      <c r="K42" s="129" t="str">
        <f>IFERROR(AVERAGE(K35:K41),"")</f>
        <v/>
      </c>
      <c r="L42" s="129"/>
      <c r="M42" s="129" t="str">
        <f>IFERROR(AVERAGE(M35:M41),"")</f>
        <v/>
      </c>
      <c r="N42" s="127"/>
      <c r="O42" s="129" t="str">
        <f t="shared" ref="O42:Q42" si="15">IFERROR(AVERAGE(O35:O41),"")</f>
        <v/>
      </c>
      <c r="P42" s="130" t="str">
        <f t="shared" si="15"/>
        <v/>
      </c>
      <c r="Q42" s="129" t="str">
        <f t="shared" si="15"/>
        <v/>
      </c>
      <c r="R42" s="129"/>
      <c r="S42" s="127"/>
      <c r="T42" s="129" t="str">
        <f t="shared" ref="T42:V42" si="16">IFERROR(AVERAGE(T35:T41),"")</f>
        <v/>
      </c>
      <c r="U42" s="129" t="str">
        <f t="shared" si="16"/>
        <v/>
      </c>
      <c r="V42" s="129" t="str">
        <f t="shared" si="16"/>
        <v/>
      </c>
      <c r="W42" s="132"/>
      <c r="X42" s="10"/>
      <c r="Y42" s="10"/>
      <c r="Z42" s="10"/>
      <c r="AA42" s="10"/>
    </row>
    <row r="43">
      <c r="A43" s="10"/>
      <c r="B43" s="7"/>
      <c r="C43" s="7"/>
      <c r="D43" s="2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24"/>
      <c r="Q43" s="7"/>
      <c r="R43" s="7"/>
      <c r="S43" s="7"/>
      <c r="T43" s="7"/>
      <c r="U43" s="7"/>
      <c r="V43" s="7"/>
      <c r="W43" s="10"/>
      <c r="X43" s="10"/>
      <c r="Y43" s="10"/>
      <c r="Z43" s="10"/>
      <c r="AA43" s="10"/>
    </row>
    <row r="44">
      <c r="A44" s="27">
        <f>A34+1</f>
        <v>5</v>
      </c>
      <c r="B44" s="28" t="s">
        <v>1</v>
      </c>
      <c r="C44" s="29" t="s">
        <v>9</v>
      </c>
      <c r="D44" s="30" t="s">
        <v>11</v>
      </c>
      <c r="E44" s="33" t="s">
        <v>13</v>
      </c>
      <c r="F44" s="36" t="s">
        <v>15</v>
      </c>
      <c r="G44" s="36" t="s">
        <v>16</v>
      </c>
      <c r="H44" s="36" t="s">
        <v>17</v>
      </c>
      <c r="I44" s="36" t="s">
        <v>18</v>
      </c>
      <c r="J44" s="33" t="s">
        <v>3</v>
      </c>
      <c r="K44" s="36" t="s">
        <v>66</v>
      </c>
      <c r="L44" s="36" t="s">
        <v>20</v>
      </c>
      <c r="M44" s="36" t="s">
        <v>21</v>
      </c>
      <c r="N44" s="33" t="s">
        <v>22</v>
      </c>
      <c r="O44" s="36" t="s">
        <v>23</v>
      </c>
      <c r="P44" s="43" t="s">
        <v>24</v>
      </c>
      <c r="Q44" s="36" t="s">
        <v>25</v>
      </c>
      <c r="R44" s="44" t="s">
        <v>26</v>
      </c>
      <c r="S44" s="33" t="s">
        <v>27</v>
      </c>
      <c r="T44" s="36" t="s">
        <v>28</v>
      </c>
      <c r="U44" s="36" t="s">
        <v>30</v>
      </c>
      <c r="V44" s="47" t="s">
        <v>31</v>
      </c>
      <c r="W44" s="54" t="s">
        <v>34</v>
      </c>
      <c r="X44" s="10"/>
      <c r="Y44" s="10"/>
      <c r="Z44" s="10"/>
      <c r="AA44" s="10"/>
    </row>
    <row r="45">
      <c r="A45" s="55"/>
      <c r="B45" s="57">
        <f>B41+1</f>
        <v>46062</v>
      </c>
      <c r="C45" s="59" t="s">
        <v>41</v>
      </c>
      <c r="D45" s="61"/>
      <c r="E45" s="62"/>
      <c r="F45" s="63"/>
      <c r="G45" s="63"/>
      <c r="H45" s="63"/>
      <c r="I45" s="63"/>
      <c r="J45" s="62"/>
      <c r="K45" s="64"/>
      <c r="L45" s="63"/>
      <c r="M45" s="64"/>
      <c r="N45" s="62"/>
      <c r="O45" s="63"/>
      <c r="P45" s="66"/>
      <c r="Q45" s="63"/>
      <c r="R45" s="64"/>
      <c r="S45" s="62"/>
      <c r="T45" s="63"/>
      <c r="U45" s="63"/>
      <c r="V45" s="68"/>
      <c r="W45" s="70"/>
      <c r="X45" s="10"/>
      <c r="Y45" s="10"/>
      <c r="Z45" s="10"/>
      <c r="AA45" s="10"/>
    </row>
    <row r="46">
      <c r="A46" s="55"/>
      <c r="B46" s="76">
        <f t="shared" ref="B46:B51" si="17">B45+1</f>
        <v>46063</v>
      </c>
      <c r="C46" s="78" t="s">
        <v>47</v>
      </c>
      <c r="D46" s="79"/>
      <c r="E46" s="62"/>
      <c r="F46" s="81"/>
      <c r="G46" s="81"/>
      <c r="H46" s="81"/>
      <c r="I46" s="81"/>
      <c r="J46" s="62"/>
      <c r="K46" s="83"/>
      <c r="L46" s="81"/>
      <c r="M46" s="81"/>
      <c r="N46" s="62"/>
      <c r="O46" s="81"/>
      <c r="P46" s="86"/>
      <c r="Q46" s="81"/>
      <c r="R46" s="81"/>
      <c r="S46" s="62"/>
      <c r="T46" s="81"/>
      <c r="U46" s="81"/>
      <c r="V46" s="91"/>
      <c r="W46" s="70"/>
      <c r="X46" s="10"/>
      <c r="Y46" s="10"/>
      <c r="Z46" s="10"/>
      <c r="AA46" s="10"/>
    </row>
    <row r="47">
      <c r="A47" s="55"/>
      <c r="B47" s="76">
        <f t="shared" si="17"/>
        <v>46064</v>
      </c>
      <c r="C47" s="78" t="s">
        <v>57</v>
      </c>
      <c r="D47" s="79"/>
      <c r="E47" s="62"/>
      <c r="F47" s="81"/>
      <c r="G47" s="81"/>
      <c r="H47" s="81"/>
      <c r="I47" s="81"/>
      <c r="J47" s="62"/>
      <c r="K47" s="83"/>
      <c r="L47" s="81"/>
      <c r="M47" s="81"/>
      <c r="N47" s="62"/>
      <c r="O47" s="81"/>
      <c r="P47" s="86"/>
      <c r="Q47" s="81"/>
      <c r="R47" s="81"/>
      <c r="S47" s="62"/>
      <c r="T47" s="81"/>
      <c r="U47" s="81"/>
      <c r="V47" s="91"/>
      <c r="W47" s="70"/>
      <c r="X47" s="10"/>
      <c r="Y47" s="10"/>
      <c r="Z47" s="10"/>
      <c r="AA47" s="10"/>
    </row>
    <row r="48">
      <c r="A48" s="55"/>
      <c r="B48" s="76">
        <f t="shared" si="17"/>
        <v>46065</v>
      </c>
      <c r="C48" s="78" t="s">
        <v>58</v>
      </c>
      <c r="D48" s="79"/>
      <c r="E48" s="62"/>
      <c r="F48" s="81"/>
      <c r="G48" s="81"/>
      <c r="H48" s="81"/>
      <c r="I48" s="81"/>
      <c r="J48" s="62"/>
      <c r="K48" s="83"/>
      <c r="L48" s="81"/>
      <c r="M48" s="81"/>
      <c r="N48" s="62"/>
      <c r="O48" s="81"/>
      <c r="P48" s="86"/>
      <c r="Q48" s="81"/>
      <c r="R48" s="81"/>
      <c r="S48" s="62"/>
      <c r="T48" s="81"/>
      <c r="U48" s="81"/>
      <c r="V48" s="91"/>
      <c r="W48" s="70"/>
      <c r="X48" s="10"/>
      <c r="Y48" s="10"/>
      <c r="Z48" s="10"/>
      <c r="AA48" s="10"/>
    </row>
    <row r="49">
      <c r="A49" s="55"/>
      <c r="B49" s="76">
        <f t="shared" si="17"/>
        <v>46066</v>
      </c>
      <c r="C49" s="78" t="s">
        <v>60</v>
      </c>
      <c r="D49" s="79"/>
      <c r="E49" s="62"/>
      <c r="F49" s="81"/>
      <c r="G49" s="81"/>
      <c r="H49" s="81"/>
      <c r="I49" s="81"/>
      <c r="J49" s="62"/>
      <c r="K49" s="83"/>
      <c r="L49" s="81"/>
      <c r="M49" s="81"/>
      <c r="N49" s="62"/>
      <c r="O49" s="81"/>
      <c r="P49" s="86"/>
      <c r="Q49" s="81"/>
      <c r="R49" s="81"/>
      <c r="S49" s="62"/>
      <c r="T49" s="81"/>
      <c r="U49" s="81"/>
      <c r="V49" s="91"/>
      <c r="W49" s="70"/>
      <c r="X49" s="10"/>
      <c r="Y49" s="10"/>
      <c r="Z49" s="10"/>
      <c r="AA49" s="10"/>
    </row>
    <row r="50">
      <c r="A50" s="55"/>
      <c r="B50" s="76">
        <f t="shared" si="17"/>
        <v>46067</v>
      </c>
      <c r="C50" s="78" t="s">
        <v>61</v>
      </c>
      <c r="D50" s="79"/>
      <c r="E50" s="62"/>
      <c r="F50" s="81"/>
      <c r="G50" s="81"/>
      <c r="H50" s="81"/>
      <c r="I50" s="81"/>
      <c r="J50" s="62"/>
      <c r="K50" s="81"/>
      <c r="L50" s="81"/>
      <c r="M50" s="81"/>
      <c r="N50" s="62"/>
      <c r="O50" s="81"/>
      <c r="P50" s="86"/>
      <c r="Q50" s="81"/>
      <c r="R50" s="81"/>
      <c r="S50" s="62"/>
      <c r="T50" s="81"/>
      <c r="U50" s="81"/>
      <c r="V50" s="91"/>
      <c r="W50" s="70"/>
      <c r="X50" s="10"/>
      <c r="Y50" s="10"/>
      <c r="Z50" s="10"/>
      <c r="AA50" s="10"/>
    </row>
    <row r="51">
      <c r="A51" s="55"/>
      <c r="B51" s="76">
        <f t="shared" si="17"/>
        <v>46068</v>
      </c>
      <c r="C51" s="113" t="s">
        <v>63</v>
      </c>
      <c r="D51" s="156"/>
      <c r="E51" s="62"/>
      <c r="F51" s="117"/>
      <c r="G51" s="117"/>
      <c r="H51" s="117"/>
      <c r="I51" s="117"/>
      <c r="J51" s="62"/>
      <c r="K51" s="117"/>
      <c r="L51" s="117"/>
      <c r="M51" s="117"/>
      <c r="N51" s="62"/>
      <c r="O51" s="117"/>
      <c r="P51" s="157"/>
      <c r="Q51" s="117"/>
      <c r="R51" s="117"/>
      <c r="S51" s="62"/>
      <c r="T51" s="117"/>
      <c r="U51" s="117"/>
      <c r="V51" s="120"/>
      <c r="W51" s="70"/>
      <c r="X51" s="10"/>
      <c r="Y51" s="10"/>
      <c r="Z51" s="10"/>
      <c r="AA51" s="10"/>
    </row>
    <row r="52">
      <c r="A52" s="122"/>
      <c r="B52" s="124" t="s">
        <v>64</v>
      </c>
      <c r="C52" s="125"/>
      <c r="D52" s="126" t="str">
        <f>IFERROR(AVERAGE(D45:D51),"")</f>
        <v/>
      </c>
      <c r="E52" s="127"/>
      <c r="F52" s="129" t="str">
        <f t="shared" ref="F52:I52" si="18">IFERROR(AVERAGE(F45:F51),"")</f>
        <v/>
      </c>
      <c r="G52" s="129" t="str">
        <f t="shared" si="18"/>
        <v/>
      </c>
      <c r="H52" s="129" t="str">
        <f t="shared" si="18"/>
        <v/>
      </c>
      <c r="I52" s="129" t="str">
        <f t="shared" si="18"/>
        <v/>
      </c>
      <c r="J52" s="127"/>
      <c r="K52" s="129" t="str">
        <f>IFERROR(AVERAGE(K45:K51),"")</f>
        <v/>
      </c>
      <c r="L52" s="129"/>
      <c r="M52" s="129" t="str">
        <f>IFERROR(AVERAGE(M45:M51),"")</f>
        <v/>
      </c>
      <c r="N52" s="127"/>
      <c r="O52" s="129" t="str">
        <f t="shared" ref="O52:Q52" si="19">IFERROR(AVERAGE(O45:O51),"")</f>
        <v/>
      </c>
      <c r="P52" s="130" t="str">
        <f t="shared" si="19"/>
        <v/>
      </c>
      <c r="Q52" s="129" t="str">
        <f t="shared" si="19"/>
        <v/>
      </c>
      <c r="R52" s="129"/>
      <c r="S52" s="127"/>
      <c r="T52" s="129" t="str">
        <f t="shared" ref="T52:V52" si="20">IFERROR(AVERAGE(T45:T51),"")</f>
        <v/>
      </c>
      <c r="U52" s="129" t="str">
        <f t="shared" si="20"/>
        <v/>
      </c>
      <c r="V52" s="129" t="str">
        <f t="shared" si="20"/>
        <v/>
      </c>
      <c r="W52" s="132"/>
      <c r="X52" s="10"/>
      <c r="Y52" s="10"/>
      <c r="Z52" s="10"/>
      <c r="AA52" s="10"/>
    </row>
    <row r="53">
      <c r="A53" s="10"/>
      <c r="B53" s="7"/>
      <c r="C53" s="7"/>
      <c r="D53" s="2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24"/>
      <c r="Q53" s="7"/>
      <c r="R53" s="7"/>
      <c r="S53" s="7"/>
      <c r="T53" s="7"/>
      <c r="U53" s="7"/>
      <c r="V53" s="7"/>
      <c r="W53" s="10"/>
      <c r="X53" s="10"/>
      <c r="Y53" s="10"/>
      <c r="Z53" s="10"/>
      <c r="AA53" s="10"/>
    </row>
    <row r="54">
      <c r="A54" s="27">
        <f>A44+1</f>
        <v>6</v>
      </c>
      <c r="B54" s="28" t="s">
        <v>1</v>
      </c>
      <c r="C54" s="29" t="s">
        <v>9</v>
      </c>
      <c r="D54" s="30" t="s">
        <v>11</v>
      </c>
      <c r="E54" s="33" t="s">
        <v>13</v>
      </c>
      <c r="F54" s="36" t="s">
        <v>15</v>
      </c>
      <c r="G54" s="36" t="s">
        <v>16</v>
      </c>
      <c r="H54" s="36" t="s">
        <v>17</v>
      </c>
      <c r="I54" s="36" t="s">
        <v>18</v>
      </c>
      <c r="J54" s="33" t="s">
        <v>3</v>
      </c>
      <c r="K54" s="36" t="s">
        <v>66</v>
      </c>
      <c r="L54" s="36" t="s">
        <v>20</v>
      </c>
      <c r="M54" s="36" t="s">
        <v>21</v>
      </c>
      <c r="N54" s="33" t="s">
        <v>22</v>
      </c>
      <c r="O54" s="36" t="s">
        <v>23</v>
      </c>
      <c r="P54" s="43" t="s">
        <v>24</v>
      </c>
      <c r="Q54" s="36" t="s">
        <v>25</v>
      </c>
      <c r="R54" s="44" t="s">
        <v>26</v>
      </c>
      <c r="S54" s="33" t="s">
        <v>27</v>
      </c>
      <c r="T54" s="36" t="s">
        <v>28</v>
      </c>
      <c r="U54" s="36" t="s">
        <v>30</v>
      </c>
      <c r="V54" s="47" t="s">
        <v>31</v>
      </c>
      <c r="W54" s="54" t="s">
        <v>34</v>
      </c>
      <c r="X54" s="10"/>
      <c r="Y54" s="10"/>
      <c r="Z54" s="10"/>
      <c r="AA54" s="10"/>
    </row>
    <row r="55">
      <c r="A55" s="55"/>
      <c r="B55" s="57">
        <f>B51+1</f>
        <v>46069</v>
      </c>
      <c r="C55" s="59" t="s">
        <v>41</v>
      </c>
      <c r="D55" s="61"/>
      <c r="E55" s="62"/>
      <c r="F55" s="63"/>
      <c r="G55" s="63"/>
      <c r="H55" s="63"/>
      <c r="I55" s="63"/>
      <c r="J55" s="62"/>
      <c r="K55" s="64"/>
      <c r="L55" s="63"/>
      <c r="M55" s="64"/>
      <c r="N55" s="62"/>
      <c r="O55" s="63"/>
      <c r="P55" s="66"/>
      <c r="Q55" s="63"/>
      <c r="R55" s="64"/>
      <c r="S55" s="62"/>
      <c r="T55" s="63"/>
      <c r="U55" s="63"/>
      <c r="V55" s="68"/>
      <c r="W55" s="70"/>
      <c r="X55" s="10"/>
      <c r="Y55" s="10"/>
      <c r="Z55" s="10"/>
      <c r="AA55" s="10"/>
    </row>
    <row r="56">
      <c r="A56" s="55"/>
      <c r="B56" s="76">
        <f t="shared" ref="B56:B61" si="21">B55+1</f>
        <v>46070</v>
      </c>
      <c r="C56" s="78" t="s">
        <v>47</v>
      </c>
      <c r="D56" s="79"/>
      <c r="E56" s="62"/>
      <c r="F56" s="81"/>
      <c r="G56" s="81"/>
      <c r="H56" s="81"/>
      <c r="I56" s="81"/>
      <c r="J56" s="62"/>
      <c r="K56" s="83"/>
      <c r="L56" s="81"/>
      <c r="M56" s="81"/>
      <c r="N56" s="62"/>
      <c r="O56" s="81"/>
      <c r="P56" s="86"/>
      <c r="Q56" s="81"/>
      <c r="R56" s="81"/>
      <c r="S56" s="62"/>
      <c r="T56" s="81"/>
      <c r="U56" s="81"/>
      <c r="V56" s="91"/>
      <c r="W56" s="70"/>
      <c r="X56" s="10"/>
      <c r="Y56" s="10"/>
      <c r="Z56" s="10"/>
      <c r="AA56" s="10"/>
    </row>
    <row r="57">
      <c r="A57" s="55"/>
      <c r="B57" s="76">
        <f t="shared" si="21"/>
        <v>46071</v>
      </c>
      <c r="C57" s="78" t="s">
        <v>57</v>
      </c>
      <c r="D57" s="79"/>
      <c r="E57" s="62"/>
      <c r="F57" s="81"/>
      <c r="G57" s="81"/>
      <c r="H57" s="81"/>
      <c r="I57" s="81"/>
      <c r="J57" s="62"/>
      <c r="K57" s="83"/>
      <c r="L57" s="81"/>
      <c r="M57" s="81"/>
      <c r="N57" s="62"/>
      <c r="O57" s="81"/>
      <c r="P57" s="86"/>
      <c r="Q57" s="81"/>
      <c r="R57" s="81"/>
      <c r="S57" s="62"/>
      <c r="T57" s="81"/>
      <c r="U57" s="81"/>
      <c r="V57" s="91"/>
      <c r="W57" s="70"/>
      <c r="X57" s="10"/>
      <c r="Y57" s="10"/>
      <c r="Z57" s="10"/>
      <c r="AA57" s="10"/>
    </row>
    <row r="58">
      <c r="A58" s="55"/>
      <c r="B58" s="76">
        <f t="shared" si="21"/>
        <v>46072</v>
      </c>
      <c r="C58" s="78" t="s">
        <v>58</v>
      </c>
      <c r="D58" s="79"/>
      <c r="E58" s="62"/>
      <c r="F58" s="81"/>
      <c r="G58" s="81"/>
      <c r="H58" s="81"/>
      <c r="I58" s="81"/>
      <c r="J58" s="62"/>
      <c r="K58" s="83"/>
      <c r="L58" s="81"/>
      <c r="M58" s="81"/>
      <c r="N58" s="62"/>
      <c r="O58" s="81"/>
      <c r="P58" s="86"/>
      <c r="Q58" s="81"/>
      <c r="R58" s="81"/>
      <c r="S58" s="62"/>
      <c r="T58" s="81"/>
      <c r="U58" s="81"/>
      <c r="V58" s="91"/>
      <c r="W58" s="70"/>
      <c r="X58" s="10"/>
      <c r="Y58" s="10"/>
      <c r="Z58" s="10"/>
      <c r="AA58" s="10"/>
    </row>
    <row r="59">
      <c r="A59" s="55"/>
      <c r="B59" s="76">
        <f t="shared" si="21"/>
        <v>46073</v>
      </c>
      <c r="C59" s="78" t="s">
        <v>60</v>
      </c>
      <c r="D59" s="79"/>
      <c r="E59" s="62"/>
      <c r="F59" s="81"/>
      <c r="G59" s="81"/>
      <c r="H59" s="81"/>
      <c r="I59" s="81"/>
      <c r="J59" s="62"/>
      <c r="K59" s="83"/>
      <c r="L59" s="81"/>
      <c r="M59" s="81"/>
      <c r="N59" s="62"/>
      <c r="O59" s="81"/>
      <c r="P59" s="86"/>
      <c r="Q59" s="81"/>
      <c r="R59" s="81"/>
      <c r="S59" s="62"/>
      <c r="T59" s="81"/>
      <c r="U59" s="81"/>
      <c r="V59" s="91"/>
      <c r="W59" s="70"/>
      <c r="X59" s="10"/>
      <c r="Y59" s="10"/>
      <c r="Z59" s="10"/>
      <c r="AA59" s="10"/>
    </row>
    <row r="60">
      <c r="A60" s="55"/>
      <c r="B60" s="76">
        <f t="shared" si="21"/>
        <v>46074</v>
      </c>
      <c r="C60" s="78" t="s">
        <v>61</v>
      </c>
      <c r="D60" s="79"/>
      <c r="E60" s="62"/>
      <c r="F60" s="81"/>
      <c r="G60" s="81"/>
      <c r="H60" s="81"/>
      <c r="I60" s="81"/>
      <c r="J60" s="62"/>
      <c r="K60" s="81"/>
      <c r="L60" s="81"/>
      <c r="M60" s="81"/>
      <c r="N60" s="62"/>
      <c r="O60" s="81"/>
      <c r="P60" s="86"/>
      <c r="Q60" s="81"/>
      <c r="R60" s="81"/>
      <c r="S60" s="62"/>
      <c r="T60" s="81"/>
      <c r="U60" s="81"/>
      <c r="V60" s="91"/>
      <c r="W60" s="70"/>
      <c r="X60" s="10"/>
      <c r="Y60" s="10"/>
      <c r="Z60" s="10"/>
      <c r="AA60" s="10"/>
    </row>
    <row r="61">
      <c r="A61" s="55"/>
      <c r="B61" s="76">
        <f t="shared" si="21"/>
        <v>46075</v>
      </c>
      <c r="C61" s="113" t="s">
        <v>63</v>
      </c>
      <c r="D61" s="156"/>
      <c r="E61" s="62"/>
      <c r="F61" s="117"/>
      <c r="G61" s="117"/>
      <c r="H61" s="117"/>
      <c r="I61" s="117"/>
      <c r="J61" s="62"/>
      <c r="K61" s="117"/>
      <c r="L61" s="117"/>
      <c r="M61" s="117"/>
      <c r="N61" s="62"/>
      <c r="O61" s="117"/>
      <c r="P61" s="157"/>
      <c r="Q61" s="117"/>
      <c r="R61" s="117"/>
      <c r="S61" s="62"/>
      <c r="T61" s="117"/>
      <c r="U61" s="117"/>
      <c r="V61" s="120"/>
      <c r="W61" s="70"/>
      <c r="X61" s="10"/>
      <c r="Y61" s="10"/>
      <c r="Z61" s="10"/>
      <c r="AA61" s="10"/>
    </row>
    <row r="62">
      <c r="A62" s="122"/>
      <c r="B62" s="124" t="s">
        <v>64</v>
      </c>
      <c r="C62" s="125"/>
      <c r="D62" s="126" t="str">
        <f>IFERROR(AVERAGE(D55:D61),"")</f>
        <v/>
      </c>
      <c r="E62" s="127"/>
      <c r="F62" s="129" t="str">
        <f t="shared" ref="F62:I62" si="22">IFERROR(AVERAGE(F55:F61),"")</f>
        <v/>
      </c>
      <c r="G62" s="129" t="str">
        <f t="shared" si="22"/>
        <v/>
      </c>
      <c r="H62" s="129" t="str">
        <f t="shared" si="22"/>
        <v/>
      </c>
      <c r="I62" s="129" t="str">
        <f t="shared" si="22"/>
        <v/>
      </c>
      <c r="J62" s="127"/>
      <c r="K62" s="129" t="str">
        <f>IFERROR(AVERAGE(K55:K61),"")</f>
        <v/>
      </c>
      <c r="L62" s="129"/>
      <c r="M62" s="129" t="str">
        <f>IFERROR(AVERAGE(M55:M61),"")</f>
        <v/>
      </c>
      <c r="N62" s="127"/>
      <c r="O62" s="129" t="str">
        <f t="shared" ref="O62:Q62" si="23">IFERROR(AVERAGE(O55:O61),"")</f>
        <v/>
      </c>
      <c r="P62" s="130" t="str">
        <f t="shared" si="23"/>
        <v/>
      </c>
      <c r="Q62" s="129" t="str">
        <f t="shared" si="23"/>
        <v/>
      </c>
      <c r="R62" s="129"/>
      <c r="S62" s="127"/>
      <c r="T62" s="129" t="str">
        <f t="shared" ref="T62:V62" si="24">IFERROR(AVERAGE(T55:T61),"")</f>
        <v/>
      </c>
      <c r="U62" s="129" t="str">
        <f t="shared" si="24"/>
        <v/>
      </c>
      <c r="V62" s="129" t="str">
        <f t="shared" si="24"/>
        <v/>
      </c>
      <c r="W62" s="132"/>
      <c r="X62" s="10"/>
      <c r="Y62" s="10"/>
      <c r="Z62" s="10"/>
      <c r="AA62" s="10"/>
    </row>
    <row r="63">
      <c r="A63" s="10"/>
      <c r="B63" s="7"/>
      <c r="C63" s="7"/>
      <c r="D63" s="2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24"/>
      <c r="Q63" s="7"/>
      <c r="R63" s="7"/>
      <c r="S63" s="7"/>
      <c r="T63" s="7"/>
      <c r="U63" s="7"/>
      <c r="V63" s="7"/>
      <c r="W63" s="10"/>
      <c r="X63" s="10"/>
      <c r="Y63" s="10"/>
      <c r="Z63" s="10"/>
      <c r="AA63" s="10"/>
    </row>
    <row r="64">
      <c r="A64" s="27">
        <f>A54+1</f>
        <v>7</v>
      </c>
      <c r="B64" s="28" t="s">
        <v>1</v>
      </c>
      <c r="C64" s="29" t="s">
        <v>9</v>
      </c>
      <c r="D64" s="30" t="s">
        <v>11</v>
      </c>
      <c r="E64" s="33" t="s">
        <v>13</v>
      </c>
      <c r="F64" s="36" t="s">
        <v>15</v>
      </c>
      <c r="G64" s="36" t="s">
        <v>16</v>
      </c>
      <c r="H64" s="36" t="s">
        <v>17</v>
      </c>
      <c r="I64" s="36" t="s">
        <v>18</v>
      </c>
      <c r="J64" s="33" t="s">
        <v>3</v>
      </c>
      <c r="K64" s="36" t="s">
        <v>66</v>
      </c>
      <c r="L64" s="36" t="s">
        <v>20</v>
      </c>
      <c r="M64" s="36" t="s">
        <v>21</v>
      </c>
      <c r="N64" s="33" t="s">
        <v>22</v>
      </c>
      <c r="O64" s="36" t="s">
        <v>23</v>
      </c>
      <c r="P64" s="43" t="s">
        <v>24</v>
      </c>
      <c r="Q64" s="36" t="s">
        <v>25</v>
      </c>
      <c r="R64" s="44" t="s">
        <v>26</v>
      </c>
      <c r="S64" s="33" t="s">
        <v>27</v>
      </c>
      <c r="T64" s="36" t="s">
        <v>28</v>
      </c>
      <c r="U64" s="36" t="s">
        <v>30</v>
      </c>
      <c r="V64" s="47" t="s">
        <v>31</v>
      </c>
      <c r="W64" s="54" t="s">
        <v>34</v>
      </c>
      <c r="X64" s="10"/>
      <c r="Y64" s="10"/>
      <c r="Z64" s="10"/>
      <c r="AA64" s="10"/>
    </row>
    <row r="65">
      <c r="A65" s="55"/>
      <c r="B65" s="57">
        <f>B61+1</f>
        <v>46076</v>
      </c>
      <c r="C65" s="59" t="s">
        <v>41</v>
      </c>
      <c r="D65" s="61"/>
      <c r="E65" s="62"/>
      <c r="F65" s="63"/>
      <c r="G65" s="63"/>
      <c r="H65" s="63"/>
      <c r="I65" s="63"/>
      <c r="J65" s="62"/>
      <c r="K65" s="64"/>
      <c r="L65" s="63"/>
      <c r="M65" s="64"/>
      <c r="N65" s="62"/>
      <c r="O65" s="63"/>
      <c r="P65" s="66"/>
      <c r="Q65" s="63"/>
      <c r="R65" s="64"/>
      <c r="S65" s="62"/>
      <c r="T65" s="63"/>
      <c r="U65" s="63"/>
      <c r="V65" s="68"/>
      <c r="W65" s="70"/>
      <c r="X65" s="10"/>
      <c r="Y65" s="10"/>
      <c r="Z65" s="10"/>
      <c r="AA65" s="10"/>
    </row>
    <row r="66">
      <c r="A66" s="55"/>
      <c r="B66" s="76">
        <f t="shared" ref="B66:B71" si="25">B65+1</f>
        <v>46077</v>
      </c>
      <c r="C66" s="78" t="s">
        <v>47</v>
      </c>
      <c r="D66" s="79"/>
      <c r="E66" s="62"/>
      <c r="F66" s="81"/>
      <c r="G66" s="81"/>
      <c r="H66" s="81"/>
      <c r="I66" s="81"/>
      <c r="J66" s="62"/>
      <c r="K66" s="83"/>
      <c r="L66" s="81"/>
      <c r="M66" s="81"/>
      <c r="N66" s="62"/>
      <c r="O66" s="81"/>
      <c r="P66" s="86"/>
      <c r="Q66" s="81"/>
      <c r="R66" s="81"/>
      <c r="S66" s="62"/>
      <c r="T66" s="81"/>
      <c r="U66" s="81"/>
      <c r="V66" s="91"/>
      <c r="W66" s="70"/>
      <c r="X66" s="10"/>
      <c r="Y66" s="10"/>
      <c r="Z66" s="10"/>
      <c r="AA66" s="10"/>
    </row>
    <row r="67">
      <c r="A67" s="55"/>
      <c r="B67" s="76">
        <f t="shared" si="25"/>
        <v>46078</v>
      </c>
      <c r="C67" s="78" t="s">
        <v>57</v>
      </c>
      <c r="D67" s="79"/>
      <c r="E67" s="62"/>
      <c r="F67" s="81"/>
      <c r="G67" s="81"/>
      <c r="H67" s="81"/>
      <c r="I67" s="81"/>
      <c r="J67" s="62"/>
      <c r="K67" s="83"/>
      <c r="L67" s="81"/>
      <c r="M67" s="81"/>
      <c r="N67" s="62"/>
      <c r="O67" s="81"/>
      <c r="P67" s="86"/>
      <c r="Q67" s="81"/>
      <c r="R67" s="81"/>
      <c r="S67" s="62"/>
      <c r="T67" s="81"/>
      <c r="U67" s="81"/>
      <c r="V67" s="91"/>
      <c r="W67" s="70"/>
      <c r="X67" s="10"/>
      <c r="Y67" s="10"/>
      <c r="Z67" s="10"/>
      <c r="AA67" s="10"/>
    </row>
    <row r="68">
      <c r="A68" s="55"/>
      <c r="B68" s="76">
        <f t="shared" si="25"/>
        <v>46079</v>
      </c>
      <c r="C68" s="78" t="s">
        <v>58</v>
      </c>
      <c r="D68" s="79"/>
      <c r="E68" s="62"/>
      <c r="F68" s="81"/>
      <c r="G68" s="81"/>
      <c r="H68" s="81"/>
      <c r="I68" s="81"/>
      <c r="J68" s="62"/>
      <c r="K68" s="83"/>
      <c r="L68" s="81"/>
      <c r="M68" s="81"/>
      <c r="N68" s="62"/>
      <c r="O68" s="81"/>
      <c r="P68" s="86"/>
      <c r="Q68" s="81"/>
      <c r="R68" s="81"/>
      <c r="S68" s="62"/>
      <c r="T68" s="81"/>
      <c r="U68" s="81"/>
      <c r="V68" s="91"/>
      <c r="W68" s="70"/>
      <c r="X68" s="10"/>
      <c r="Y68" s="10"/>
      <c r="Z68" s="10"/>
      <c r="AA68" s="10"/>
    </row>
    <row r="69">
      <c r="A69" s="55"/>
      <c r="B69" s="76">
        <f t="shared" si="25"/>
        <v>46080</v>
      </c>
      <c r="C69" s="78" t="s">
        <v>60</v>
      </c>
      <c r="D69" s="79"/>
      <c r="E69" s="62"/>
      <c r="F69" s="81"/>
      <c r="G69" s="81"/>
      <c r="H69" s="81"/>
      <c r="I69" s="81"/>
      <c r="J69" s="62"/>
      <c r="K69" s="83"/>
      <c r="L69" s="81"/>
      <c r="M69" s="81"/>
      <c r="N69" s="62"/>
      <c r="O69" s="81"/>
      <c r="P69" s="86"/>
      <c r="Q69" s="81"/>
      <c r="R69" s="81"/>
      <c r="S69" s="62"/>
      <c r="T69" s="81"/>
      <c r="U69" s="81"/>
      <c r="V69" s="91"/>
      <c r="W69" s="70"/>
      <c r="X69" s="10"/>
      <c r="Y69" s="10"/>
      <c r="Z69" s="10"/>
      <c r="AA69" s="10"/>
    </row>
    <row r="70">
      <c r="A70" s="55"/>
      <c r="B70" s="76">
        <f t="shared" si="25"/>
        <v>46081</v>
      </c>
      <c r="C70" s="78" t="s">
        <v>61</v>
      </c>
      <c r="D70" s="79"/>
      <c r="E70" s="62"/>
      <c r="F70" s="81"/>
      <c r="G70" s="81"/>
      <c r="H70" s="81"/>
      <c r="I70" s="81"/>
      <c r="J70" s="62"/>
      <c r="K70" s="81"/>
      <c r="L70" s="81"/>
      <c r="M70" s="81"/>
      <c r="N70" s="62"/>
      <c r="O70" s="81"/>
      <c r="P70" s="86"/>
      <c r="Q70" s="81"/>
      <c r="R70" s="81"/>
      <c r="S70" s="62"/>
      <c r="T70" s="81"/>
      <c r="U70" s="81"/>
      <c r="V70" s="91"/>
      <c r="W70" s="70"/>
      <c r="X70" s="10"/>
      <c r="Y70" s="10"/>
      <c r="Z70" s="10"/>
      <c r="AA70" s="10"/>
    </row>
    <row r="71">
      <c r="A71" s="55"/>
      <c r="B71" s="76">
        <f t="shared" si="25"/>
        <v>46082</v>
      </c>
      <c r="C71" s="113" t="s">
        <v>63</v>
      </c>
      <c r="D71" s="156"/>
      <c r="E71" s="62"/>
      <c r="F71" s="117"/>
      <c r="G71" s="117"/>
      <c r="H71" s="117"/>
      <c r="I71" s="117"/>
      <c r="J71" s="62"/>
      <c r="K71" s="117"/>
      <c r="L71" s="117"/>
      <c r="M71" s="117"/>
      <c r="N71" s="62"/>
      <c r="O71" s="117"/>
      <c r="P71" s="157"/>
      <c r="Q71" s="117"/>
      <c r="R71" s="117"/>
      <c r="S71" s="62"/>
      <c r="T71" s="117"/>
      <c r="U71" s="117"/>
      <c r="V71" s="120"/>
      <c r="W71" s="70"/>
      <c r="X71" s="10"/>
      <c r="Y71" s="10"/>
      <c r="Z71" s="10"/>
      <c r="AA71" s="10"/>
    </row>
    <row r="72">
      <c r="A72" s="122"/>
      <c r="B72" s="124" t="s">
        <v>64</v>
      </c>
      <c r="C72" s="125"/>
      <c r="D72" s="126" t="str">
        <f>IFERROR(AVERAGE(D65:D71),"")</f>
        <v/>
      </c>
      <c r="E72" s="127"/>
      <c r="F72" s="129" t="str">
        <f t="shared" ref="F72:I72" si="26">IFERROR(AVERAGE(F65:F71),"")</f>
        <v/>
      </c>
      <c r="G72" s="129" t="str">
        <f t="shared" si="26"/>
        <v/>
      </c>
      <c r="H72" s="129" t="str">
        <f t="shared" si="26"/>
        <v/>
      </c>
      <c r="I72" s="129" t="str">
        <f t="shared" si="26"/>
        <v/>
      </c>
      <c r="J72" s="127"/>
      <c r="K72" s="129" t="str">
        <f>IFERROR(AVERAGE(K65:K71),"")</f>
        <v/>
      </c>
      <c r="L72" s="129"/>
      <c r="M72" s="129" t="str">
        <f>IFERROR(AVERAGE(M65:M71),"")</f>
        <v/>
      </c>
      <c r="N72" s="127"/>
      <c r="O72" s="129" t="str">
        <f t="shared" ref="O72:Q72" si="27">IFERROR(AVERAGE(O65:O71),"")</f>
        <v/>
      </c>
      <c r="P72" s="130" t="str">
        <f t="shared" si="27"/>
        <v/>
      </c>
      <c r="Q72" s="129" t="str">
        <f t="shared" si="27"/>
        <v/>
      </c>
      <c r="R72" s="129"/>
      <c r="S72" s="127"/>
      <c r="T72" s="129" t="str">
        <f t="shared" ref="T72:V72" si="28">IFERROR(AVERAGE(T65:T71),"")</f>
        <v/>
      </c>
      <c r="U72" s="129" t="str">
        <f t="shared" si="28"/>
        <v/>
      </c>
      <c r="V72" s="129" t="str">
        <f t="shared" si="28"/>
        <v/>
      </c>
      <c r="W72" s="132"/>
      <c r="X72" s="10"/>
      <c r="Y72" s="10"/>
      <c r="Z72" s="10"/>
      <c r="AA72" s="10"/>
    </row>
    <row r="73">
      <c r="A73" s="10"/>
      <c r="B73" s="7"/>
      <c r="C73" s="7"/>
      <c r="D73" s="2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24"/>
      <c r="Q73" s="7"/>
      <c r="R73" s="7"/>
      <c r="S73" s="7"/>
      <c r="T73" s="7"/>
      <c r="U73" s="7"/>
      <c r="V73" s="7"/>
      <c r="W73" s="10"/>
      <c r="X73" s="10"/>
      <c r="Y73" s="10"/>
      <c r="Z73" s="10"/>
      <c r="AA73" s="10"/>
    </row>
    <row r="74">
      <c r="A74" s="27">
        <f>A64+1</f>
        <v>8</v>
      </c>
      <c r="B74" s="28" t="s">
        <v>1</v>
      </c>
      <c r="C74" s="29" t="s">
        <v>9</v>
      </c>
      <c r="D74" s="30" t="s">
        <v>11</v>
      </c>
      <c r="E74" s="33" t="s">
        <v>13</v>
      </c>
      <c r="F74" s="36" t="s">
        <v>15</v>
      </c>
      <c r="G74" s="36" t="s">
        <v>16</v>
      </c>
      <c r="H74" s="36" t="s">
        <v>17</v>
      </c>
      <c r="I74" s="36" t="s">
        <v>18</v>
      </c>
      <c r="J74" s="33" t="s">
        <v>3</v>
      </c>
      <c r="K74" s="36" t="s">
        <v>66</v>
      </c>
      <c r="L74" s="36" t="s">
        <v>20</v>
      </c>
      <c r="M74" s="36" t="s">
        <v>21</v>
      </c>
      <c r="N74" s="33" t="s">
        <v>22</v>
      </c>
      <c r="O74" s="36" t="s">
        <v>23</v>
      </c>
      <c r="P74" s="43" t="s">
        <v>24</v>
      </c>
      <c r="Q74" s="36" t="s">
        <v>25</v>
      </c>
      <c r="R74" s="44" t="s">
        <v>26</v>
      </c>
      <c r="S74" s="33" t="s">
        <v>27</v>
      </c>
      <c r="T74" s="36" t="s">
        <v>28</v>
      </c>
      <c r="U74" s="36" t="s">
        <v>30</v>
      </c>
      <c r="V74" s="47" t="s">
        <v>31</v>
      </c>
      <c r="W74" s="54" t="s">
        <v>34</v>
      </c>
      <c r="X74" s="10"/>
      <c r="Y74" s="10"/>
      <c r="Z74" s="10"/>
      <c r="AA74" s="10"/>
    </row>
    <row r="75">
      <c r="A75" s="55"/>
      <c r="B75" s="57">
        <f>B71+1</f>
        <v>46083</v>
      </c>
      <c r="C75" s="59" t="s">
        <v>41</v>
      </c>
      <c r="D75" s="61"/>
      <c r="E75" s="62"/>
      <c r="F75" s="63"/>
      <c r="G75" s="63"/>
      <c r="H75" s="63"/>
      <c r="I75" s="63"/>
      <c r="J75" s="62"/>
      <c r="K75" s="64"/>
      <c r="L75" s="63"/>
      <c r="M75" s="64"/>
      <c r="N75" s="62"/>
      <c r="O75" s="63"/>
      <c r="P75" s="66"/>
      <c r="Q75" s="63"/>
      <c r="R75" s="64"/>
      <c r="S75" s="62"/>
      <c r="T75" s="63"/>
      <c r="U75" s="63"/>
      <c r="V75" s="68"/>
      <c r="W75" s="70"/>
      <c r="X75" s="10"/>
      <c r="Y75" s="10"/>
      <c r="Z75" s="10"/>
      <c r="AA75" s="10"/>
    </row>
    <row r="76">
      <c r="A76" s="55"/>
      <c r="B76" s="76">
        <f t="shared" ref="B76:B81" si="29">B75+1</f>
        <v>46084</v>
      </c>
      <c r="C76" s="78" t="s">
        <v>47</v>
      </c>
      <c r="D76" s="79"/>
      <c r="E76" s="62"/>
      <c r="F76" s="81"/>
      <c r="G76" s="81"/>
      <c r="H76" s="81"/>
      <c r="I76" s="81"/>
      <c r="J76" s="62"/>
      <c r="K76" s="83"/>
      <c r="L76" s="81"/>
      <c r="M76" s="81"/>
      <c r="N76" s="62"/>
      <c r="O76" s="81"/>
      <c r="P76" s="86"/>
      <c r="Q76" s="81"/>
      <c r="R76" s="81"/>
      <c r="S76" s="62"/>
      <c r="T76" s="81"/>
      <c r="U76" s="81"/>
      <c r="V76" s="91"/>
      <c r="W76" s="70"/>
      <c r="X76" s="10"/>
      <c r="Y76" s="10"/>
      <c r="Z76" s="10"/>
      <c r="AA76" s="10"/>
    </row>
    <row r="77">
      <c r="A77" s="55"/>
      <c r="B77" s="76">
        <f t="shared" si="29"/>
        <v>46085</v>
      </c>
      <c r="C77" s="78" t="s">
        <v>57</v>
      </c>
      <c r="D77" s="79"/>
      <c r="E77" s="62"/>
      <c r="F77" s="81"/>
      <c r="G77" s="81"/>
      <c r="H77" s="81"/>
      <c r="I77" s="81"/>
      <c r="J77" s="62"/>
      <c r="K77" s="83"/>
      <c r="L77" s="81"/>
      <c r="M77" s="81"/>
      <c r="N77" s="62"/>
      <c r="O77" s="81"/>
      <c r="P77" s="86"/>
      <c r="Q77" s="81"/>
      <c r="R77" s="81"/>
      <c r="S77" s="62"/>
      <c r="T77" s="81"/>
      <c r="U77" s="81"/>
      <c r="V77" s="91"/>
      <c r="W77" s="70"/>
      <c r="X77" s="10"/>
      <c r="Y77" s="10"/>
      <c r="Z77" s="10"/>
      <c r="AA77" s="10"/>
    </row>
    <row r="78">
      <c r="A78" s="55"/>
      <c r="B78" s="76">
        <f t="shared" si="29"/>
        <v>46086</v>
      </c>
      <c r="C78" s="78" t="s">
        <v>58</v>
      </c>
      <c r="D78" s="79"/>
      <c r="E78" s="62"/>
      <c r="F78" s="81"/>
      <c r="G78" s="81"/>
      <c r="H78" s="81"/>
      <c r="I78" s="81"/>
      <c r="J78" s="62"/>
      <c r="K78" s="83"/>
      <c r="L78" s="81"/>
      <c r="M78" s="81"/>
      <c r="N78" s="62"/>
      <c r="O78" s="81"/>
      <c r="P78" s="86"/>
      <c r="Q78" s="81"/>
      <c r="R78" s="81"/>
      <c r="S78" s="62"/>
      <c r="T78" s="81"/>
      <c r="U78" s="81"/>
      <c r="V78" s="91"/>
      <c r="W78" s="70"/>
      <c r="X78" s="10"/>
      <c r="Y78" s="10"/>
      <c r="Z78" s="10"/>
      <c r="AA78" s="10"/>
    </row>
    <row r="79">
      <c r="A79" s="55"/>
      <c r="B79" s="76">
        <f t="shared" si="29"/>
        <v>46087</v>
      </c>
      <c r="C79" s="78" t="s">
        <v>60</v>
      </c>
      <c r="D79" s="79"/>
      <c r="E79" s="62"/>
      <c r="F79" s="81"/>
      <c r="G79" s="81"/>
      <c r="H79" s="81"/>
      <c r="I79" s="81"/>
      <c r="J79" s="62"/>
      <c r="K79" s="83"/>
      <c r="L79" s="81"/>
      <c r="M79" s="81"/>
      <c r="N79" s="62"/>
      <c r="O79" s="81"/>
      <c r="P79" s="86"/>
      <c r="Q79" s="81"/>
      <c r="R79" s="81"/>
      <c r="S79" s="62"/>
      <c r="T79" s="81"/>
      <c r="U79" s="81"/>
      <c r="V79" s="91"/>
      <c r="W79" s="70"/>
      <c r="X79" s="10"/>
      <c r="Y79" s="10"/>
      <c r="Z79" s="10"/>
      <c r="AA79" s="10"/>
    </row>
    <row r="80">
      <c r="A80" s="55"/>
      <c r="B80" s="76">
        <f t="shared" si="29"/>
        <v>46088</v>
      </c>
      <c r="C80" s="78" t="s">
        <v>61</v>
      </c>
      <c r="D80" s="79"/>
      <c r="E80" s="62"/>
      <c r="F80" s="81"/>
      <c r="G80" s="81"/>
      <c r="H80" s="81"/>
      <c r="I80" s="81"/>
      <c r="J80" s="62"/>
      <c r="K80" s="81"/>
      <c r="L80" s="81"/>
      <c r="M80" s="81"/>
      <c r="N80" s="62"/>
      <c r="O80" s="81"/>
      <c r="P80" s="86"/>
      <c r="Q80" s="81"/>
      <c r="R80" s="81"/>
      <c r="S80" s="62"/>
      <c r="T80" s="81"/>
      <c r="U80" s="81"/>
      <c r="V80" s="91"/>
      <c r="W80" s="70"/>
      <c r="X80" s="10"/>
      <c r="Y80" s="10"/>
      <c r="Z80" s="10"/>
      <c r="AA80" s="10"/>
    </row>
    <row r="81">
      <c r="A81" s="55"/>
      <c r="B81" s="76">
        <f t="shared" si="29"/>
        <v>46089</v>
      </c>
      <c r="C81" s="113" t="s">
        <v>63</v>
      </c>
      <c r="D81" s="156"/>
      <c r="E81" s="62"/>
      <c r="F81" s="117"/>
      <c r="G81" s="117"/>
      <c r="H81" s="117"/>
      <c r="I81" s="117"/>
      <c r="J81" s="62"/>
      <c r="K81" s="117"/>
      <c r="L81" s="117"/>
      <c r="M81" s="117"/>
      <c r="N81" s="62"/>
      <c r="O81" s="117"/>
      <c r="P81" s="157"/>
      <c r="Q81" s="117"/>
      <c r="R81" s="117"/>
      <c r="S81" s="62"/>
      <c r="T81" s="117"/>
      <c r="U81" s="117"/>
      <c r="V81" s="120"/>
      <c r="W81" s="70"/>
      <c r="X81" s="10"/>
      <c r="Y81" s="10"/>
      <c r="Z81" s="10"/>
      <c r="AA81" s="10"/>
    </row>
    <row r="82">
      <c r="A82" s="122"/>
      <c r="B82" s="124" t="s">
        <v>64</v>
      </c>
      <c r="C82" s="125"/>
      <c r="D82" s="126" t="str">
        <f>IFERROR(AVERAGE(D75:D81),"")</f>
        <v/>
      </c>
      <c r="E82" s="127"/>
      <c r="F82" s="129" t="str">
        <f t="shared" ref="F82:I82" si="30">IFERROR(AVERAGE(F75:F81),"")</f>
        <v/>
      </c>
      <c r="G82" s="129" t="str">
        <f t="shared" si="30"/>
        <v/>
      </c>
      <c r="H82" s="129" t="str">
        <f t="shared" si="30"/>
        <v/>
      </c>
      <c r="I82" s="129" t="str">
        <f t="shared" si="30"/>
        <v/>
      </c>
      <c r="J82" s="127"/>
      <c r="K82" s="129" t="str">
        <f>IFERROR(AVERAGE(K75:K81),"")</f>
        <v/>
      </c>
      <c r="L82" s="129"/>
      <c r="M82" s="129" t="str">
        <f>IFERROR(AVERAGE(M75:M81),"")</f>
        <v/>
      </c>
      <c r="N82" s="127"/>
      <c r="O82" s="129" t="str">
        <f t="shared" ref="O82:Q82" si="31">IFERROR(AVERAGE(O75:O81),"")</f>
        <v/>
      </c>
      <c r="P82" s="130" t="str">
        <f t="shared" si="31"/>
        <v/>
      </c>
      <c r="Q82" s="129" t="str">
        <f t="shared" si="31"/>
        <v/>
      </c>
      <c r="R82" s="129"/>
      <c r="S82" s="127"/>
      <c r="T82" s="129" t="str">
        <f t="shared" ref="T82:V82" si="32">IFERROR(AVERAGE(T75:T81),"")</f>
        <v/>
      </c>
      <c r="U82" s="129" t="str">
        <f t="shared" si="32"/>
        <v/>
      </c>
      <c r="V82" s="129" t="str">
        <f t="shared" si="32"/>
        <v/>
      </c>
      <c r="W82" s="132"/>
      <c r="X82" s="10"/>
      <c r="Y82" s="10"/>
      <c r="Z82" s="10"/>
      <c r="AA82" s="10"/>
    </row>
    <row r="83">
      <c r="A83" s="10"/>
      <c r="B83" s="7"/>
      <c r="C83" s="7"/>
      <c r="D83" s="2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24"/>
      <c r="Q83" s="7"/>
      <c r="R83" s="7"/>
      <c r="S83" s="7"/>
      <c r="T83" s="7"/>
      <c r="U83" s="7"/>
      <c r="V83" s="7"/>
      <c r="W83" s="10"/>
      <c r="X83" s="10"/>
      <c r="Y83" s="10"/>
      <c r="Z83" s="10"/>
      <c r="AA83" s="10"/>
    </row>
    <row r="84">
      <c r="A84" s="27">
        <f>A74+1</f>
        <v>9</v>
      </c>
      <c r="B84" s="28" t="s">
        <v>1</v>
      </c>
      <c r="C84" s="29" t="s">
        <v>9</v>
      </c>
      <c r="D84" s="30" t="s">
        <v>11</v>
      </c>
      <c r="E84" s="33" t="s">
        <v>13</v>
      </c>
      <c r="F84" s="36" t="s">
        <v>15</v>
      </c>
      <c r="G84" s="36" t="s">
        <v>16</v>
      </c>
      <c r="H84" s="36" t="s">
        <v>17</v>
      </c>
      <c r="I84" s="36" t="s">
        <v>18</v>
      </c>
      <c r="J84" s="33" t="s">
        <v>3</v>
      </c>
      <c r="K84" s="36" t="s">
        <v>66</v>
      </c>
      <c r="L84" s="36" t="s">
        <v>20</v>
      </c>
      <c r="M84" s="36" t="s">
        <v>21</v>
      </c>
      <c r="N84" s="33" t="s">
        <v>22</v>
      </c>
      <c r="O84" s="36" t="s">
        <v>23</v>
      </c>
      <c r="P84" s="43" t="s">
        <v>24</v>
      </c>
      <c r="Q84" s="36" t="s">
        <v>25</v>
      </c>
      <c r="R84" s="44" t="s">
        <v>26</v>
      </c>
      <c r="S84" s="33" t="s">
        <v>27</v>
      </c>
      <c r="T84" s="36" t="s">
        <v>28</v>
      </c>
      <c r="U84" s="36" t="s">
        <v>30</v>
      </c>
      <c r="V84" s="47" t="s">
        <v>31</v>
      </c>
      <c r="W84" s="54" t="s">
        <v>34</v>
      </c>
      <c r="X84" s="10"/>
      <c r="Y84" s="10"/>
      <c r="Z84" s="10"/>
      <c r="AA84" s="10"/>
    </row>
    <row r="85">
      <c r="A85" s="55"/>
      <c r="B85" s="57">
        <f>B81+1</f>
        <v>46090</v>
      </c>
      <c r="C85" s="59" t="s">
        <v>41</v>
      </c>
      <c r="D85" s="61"/>
      <c r="E85" s="62"/>
      <c r="F85" s="63"/>
      <c r="G85" s="63"/>
      <c r="H85" s="63"/>
      <c r="I85" s="63"/>
      <c r="J85" s="62"/>
      <c r="K85" s="64"/>
      <c r="L85" s="63"/>
      <c r="M85" s="64"/>
      <c r="N85" s="62"/>
      <c r="O85" s="63"/>
      <c r="P85" s="66"/>
      <c r="Q85" s="63"/>
      <c r="R85" s="64"/>
      <c r="S85" s="62"/>
      <c r="T85" s="63"/>
      <c r="U85" s="63"/>
      <c r="V85" s="68"/>
      <c r="W85" s="70"/>
      <c r="X85" s="10"/>
      <c r="Y85" s="10"/>
      <c r="Z85" s="10"/>
      <c r="AA85" s="10"/>
    </row>
    <row r="86">
      <c r="A86" s="55"/>
      <c r="B86" s="76">
        <f t="shared" ref="B86:B91" si="33">B85+1</f>
        <v>46091</v>
      </c>
      <c r="C86" s="78" t="s">
        <v>47</v>
      </c>
      <c r="D86" s="79"/>
      <c r="E86" s="62"/>
      <c r="F86" s="81"/>
      <c r="G86" s="81"/>
      <c r="H86" s="81"/>
      <c r="I86" s="81"/>
      <c r="J86" s="62"/>
      <c r="K86" s="83"/>
      <c r="L86" s="81"/>
      <c r="M86" s="81"/>
      <c r="N86" s="62"/>
      <c r="O86" s="81"/>
      <c r="P86" s="86"/>
      <c r="Q86" s="81"/>
      <c r="R86" s="81"/>
      <c r="S86" s="62"/>
      <c r="T86" s="81"/>
      <c r="U86" s="81"/>
      <c r="V86" s="91"/>
      <c r="W86" s="70"/>
      <c r="X86" s="10"/>
      <c r="Y86" s="10"/>
      <c r="Z86" s="10"/>
      <c r="AA86" s="10"/>
    </row>
    <row r="87">
      <c r="A87" s="55"/>
      <c r="B87" s="76">
        <f t="shared" si="33"/>
        <v>46092</v>
      </c>
      <c r="C87" s="78" t="s">
        <v>57</v>
      </c>
      <c r="D87" s="79"/>
      <c r="E87" s="62"/>
      <c r="F87" s="81"/>
      <c r="G87" s="81"/>
      <c r="H87" s="81"/>
      <c r="I87" s="81"/>
      <c r="J87" s="62"/>
      <c r="K87" s="83"/>
      <c r="L87" s="81"/>
      <c r="M87" s="81"/>
      <c r="N87" s="62"/>
      <c r="O87" s="81"/>
      <c r="P87" s="86"/>
      <c r="Q87" s="81"/>
      <c r="R87" s="81"/>
      <c r="S87" s="62"/>
      <c r="T87" s="81"/>
      <c r="U87" s="81"/>
      <c r="V87" s="91"/>
      <c r="W87" s="70"/>
      <c r="X87" s="10"/>
      <c r="Y87" s="10"/>
      <c r="Z87" s="10"/>
      <c r="AA87" s="10"/>
    </row>
    <row r="88">
      <c r="A88" s="55"/>
      <c r="B88" s="76">
        <f t="shared" si="33"/>
        <v>46093</v>
      </c>
      <c r="C88" s="78" t="s">
        <v>58</v>
      </c>
      <c r="D88" s="79"/>
      <c r="E88" s="62"/>
      <c r="F88" s="81"/>
      <c r="G88" s="81"/>
      <c r="H88" s="81"/>
      <c r="I88" s="81"/>
      <c r="J88" s="62"/>
      <c r="K88" s="83"/>
      <c r="L88" s="81"/>
      <c r="M88" s="81"/>
      <c r="N88" s="62"/>
      <c r="O88" s="81"/>
      <c r="P88" s="86"/>
      <c r="Q88" s="81"/>
      <c r="R88" s="81"/>
      <c r="S88" s="62"/>
      <c r="T88" s="81"/>
      <c r="U88" s="81"/>
      <c r="V88" s="91"/>
      <c r="W88" s="70"/>
      <c r="X88" s="10"/>
      <c r="Y88" s="10"/>
      <c r="Z88" s="10"/>
      <c r="AA88" s="10"/>
    </row>
    <row r="89">
      <c r="A89" s="55"/>
      <c r="B89" s="76">
        <f t="shared" si="33"/>
        <v>46094</v>
      </c>
      <c r="C89" s="78" t="s">
        <v>60</v>
      </c>
      <c r="D89" s="79"/>
      <c r="E89" s="62"/>
      <c r="F89" s="81"/>
      <c r="G89" s="81"/>
      <c r="H89" s="81"/>
      <c r="I89" s="81"/>
      <c r="J89" s="62"/>
      <c r="K89" s="83"/>
      <c r="L89" s="81"/>
      <c r="M89" s="81"/>
      <c r="N89" s="62"/>
      <c r="O89" s="81"/>
      <c r="P89" s="86"/>
      <c r="Q89" s="81"/>
      <c r="R89" s="81"/>
      <c r="S89" s="62"/>
      <c r="T89" s="81"/>
      <c r="U89" s="81"/>
      <c r="V89" s="91"/>
      <c r="W89" s="70"/>
      <c r="X89" s="10"/>
      <c r="Y89" s="10"/>
      <c r="Z89" s="10"/>
      <c r="AA89" s="10"/>
    </row>
    <row r="90">
      <c r="A90" s="55"/>
      <c r="B90" s="76">
        <f t="shared" si="33"/>
        <v>46095</v>
      </c>
      <c r="C90" s="78" t="s">
        <v>61</v>
      </c>
      <c r="D90" s="79"/>
      <c r="E90" s="62"/>
      <c r="F90" s="81"/>
      <c r="G90" s="81"/>
      <c r="H90" s="81"/>
      <c r="I90" s="81"/>
      <c r="J90" s="62"/>
      <c r="K90" s="81"/>
      <c r="L90" s="81"/>
      <c r="M90" s="81"/>
      <c r="N90" s="62"/>
      <c r="O90" s="81"/>
      <c r="P90" s="86"/>
      <c r="Q90" s="81"/>
      <c r="R90" s="81"/>
      <c r="S90" s="62"/>
      <c r="T90" s="81"/>
      <c r="U90" s="81"/>
      <c r="V90" s="91"/>
      <c r="W90" s="70"/>
      <c r="X90" s="10"/>
      <c r="Y90" s="10"/>
      <c r="Z90" s="10"/>
      <c r="AA90" s="10"/>
    </row>
    <row r="91">
      <c r="A91" s="55"/>
      <c r="B91" s="76">
        <f t="shared" si="33"/>
        <v>46096</v>
      </c>
      <c r="C91" s="113" t="s">
        <v>63</v>
      </c>
      <c r="D91" s="156"/>
      <c r="E91" s="62"/>
      <c r="F91" s="117"/>
      <c r="G91" s="117"/>
      <c r="H91" s="117"/>
      <c r="I91" s="117"/>
      <c r="J91" s="62"/>
      <c r="K91" s="117"/>
      <c r="L91" s="117"/>
      <c r="M91" s="117"/>
      <c r="N91" s="62"/>
      <c r="O91" s="117"/>
      <c r="P91" s="157"/>
      <c r="Q91" s="117"/>
      <c r="R91" s="117"/>
      <c r="S91" s="62"/>
      <c r="T91" s="117"/>
      <c r="U91" s="117"/>
      <c r="V91" s="120"/>
      <c r="W91" s="70"/>
      <c r="X91" s="10"/>
      <c r="Y91" s="10"/>
      <c r="Z91" s="10"/>
      <c r="AA91" s="10"/>
    </row>
    <row r="92">
      <c r="A92" s="122"/>
      <c r="B92" s="124" t="s">
        <v>64</v>
      </c>
      <c r="C92" s="125"/>
      <c r="D92" s="126" t="str">
        <f>IFERROR(AVERAGE(D85:D91),"")</f>
        <v/>
      </c>
      <c r="E92" s="127"/>
      <c r="F92" s="129" t="str">
        <f t="shared" ref="F92:I92" si="34">IFERROR(AVERAGE(F85:F91),"")</f>
        <v/>
      </c>
      <c r="G92" s="129" t="str">
        <f t="shared" si="34"/>
        <v/>
      </c>
      <c r="H92" s="129" t="str">
        <f t="shared" si="34"/>
        <v/>
      </c>
      <c r="I92" s="129" t="str">
        <f t="shared" si="34"/>
        <v/>
      </c>
      <c r="J92" s="127"/>
      <c r="K92" s="129" t="str">
        <f>IFERROR(AVERAGE(K85:K91),"")</f>
        <v/>
      </c>
      <c r="L92" s="129"/>
      <c r="M92" s="129" t="str">
        <f>IFERROR(AVERAGE(M85:M91),"")</f>
        <v/>
      </c>
      <c r="N92" s="127"/>
      <c r="O92" s="129" t="str">
        <f t="shared" ref="O92:Q92" si="35">IFERROR(AVERAGE(O85:O91),"")</f>
        <v/>
      </c>
      <c r="P92" s="130" t="str">
        <f t="shared" si="35"/>
        <v/>
      </c>
      <c r="Q92" s="129" t="str">
        <f t="shared" si="35"/>
        <v/>
      </c>
      <c r="R92" s="129"/>
      <c r="S92" s="127"/>
      <c r="T92" s="129" t="str">
        <f t="shared" ref="T92:V92" si="36">IFERROR(AVERAGE(T85:T91),"")</f>
        <v/>
      </c>
      <c r="U92" s="129" t="str">
        <f t="shared" si="36"/>
        <v/>
      </c>
      <c r="V92" s="129" t="str">
        <f t="shared" si="36"/>
        <v/>
      </c>
      <c r="W92" s="132"/>
      <c r="X92" s="10"/>
      <c r="Y92" s="10"/>
      <c r="Z92" s="10"/>
      <c r="AA92" s="10"/>
    </row>
    <row r="93">
      <c r="A93" s="10"/>
      <c r="B93" s="7"/>
      <c r="C93" s="7"/>
      <c r="D93" s="2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24"/>
      <c r="Q93" s="7"/>
      <c r="R93" s="7"/>
      <c r="S93" s="7"/>
      <c r="T93" s="7"/>
      <c r="U93" s="7"/>
      <c r="V93" s="7"/>
      <c r="W93" s="10"/>
      <c r="X93" s="10"/>
      <c r="Y93" s="10"/>
      <c r="Z93" s="10"/>
      <c r="AA93" s="10"/>
    </row>
    <row r="94">
      <c r="A94" s="27">
        <f>A84+1</f>
        <v>10</v>
      </c>
      <c r="B94" s="28" t="s">
        <v>1</v>
      </c>
      <c r="C94" s="29" t="s">
        <v>9</v>
      </c>
      <c r="D94" s="30" t="s">
        <v>11</v>
      </c>
      <c r="E94" s="33" t="s">
        <v>13</v>
      </c>
      <c r="F94" s="36" t="s">
        <v>15</v>
      </c>
      <c r="G94" s="36" t="s">
        <v>16</v>
      </c>
      <c r="H94" s="36" t="s">
        <v>17</v>
      </c>
      <c r="I94" s="36" t="s">
        <v>18</v>
      </c>
      <c r="J94" s="33" t="s">
        <v>3</v>
      </c>
      <c r="K94" s="36" t="s">
        <v>66</v>
      </c>
      <c r="L94" s="36" t="s">
        <v>20</v>
      </c>
      <c r="M94" s="36" t="s">
        <v>21</v>
      </c>
      <c r="N94" s="33" t="s">
        <v>22</v>
      </c>
      <c r="O94" s="36" t="s">
        <v>23</v>
      </c>
      <c r="P94" s="43" t="s">
        <v>24</v>
      </c>
      <c r="Q94" s="36" t="s">
        <v>25</v>
      </c>
      <c r="R94" s="44" t="s">
        <v>26</v>
      </c>
      <c r="S94" s="33" t="s">
        <v>27</v>
      </c>
      <c r="T94" s="36" t="s">
        <v>28</v>
      </c>
      <c r="U94" s="36" t="s">
        <v>30</v>
      </c>
      <c r="V94" s="47" t="s">
        <v>31</v>
      </c>
      <c r="W94" s="54" t="s">
        <v>34</v>
      </c>
      <c r="X94" s="10"/>
      <c r="Y94" s="10"/>
      <c r="Z94" s="10"/>
      <c r="AA94" s="10"/>
    </row>
    <row r="95">
      <c r="A95" s="55"/>
      <c r="B95" s="57">
        <f>B91+1</f>
        <v>46097</v>
      </c>
      <c r="C95" s="59" t="s">
        <v>41</v>
      </c>
      <c r="D95" s="61"/>
      <c r="E95" s="62"/>
      <c r="F95" s="63"/>
      <c r="G95" s="63"/>
      <c r="H95" s="63"/>
      <c r="I95" s="63"/>
      <c r="J95" s="62"/>
      <c r="K95" s="64"/>
      <c r="L95" s="63"/>
      <c r="M95" s="64"/>
      <c r="N95" s="62"/>
      <c r="O95" s="63"/>
      <c r="P95" s="66"/>
      <c r="Q95" s="63"/>
      <c r="R95" s="64"/>
      <c r="S95" s="62"/>
      <c r="T95" s="63"/>
      <c r="U95" s="63"/>
      <c r="V95" s="68"/>
      <c r="W95" s="70"/>
      <c r="X95" s="10"/>
      <c r="Y95" s="10"/>
      <c r="Z95" s="10"/>
      <c r="AA95" s="10"/>
    </row>
    <row r="96">
      <c r="A96" s="55"/>
      <c r="B96" s="76">
        <f t="shared" ref="B96:B101" si="37">B95+1</f>
        <v>46098</v>
      </c>
      <c r="C96" s="78" t="s">
        <v>47</v>
      </c>
      <c r="D96" s="79"/>
      <c r="E96" s="62"/>
      <c r="F96" s="81"/>
      <c r="G96" s="81"/>
      <c r="H96" s="81"/>
      <c r="I96" s="81"/>
      <c r="J96" s="62"/>
      <c r="K96" s="83"/>
      <c r="L96" s="81"/>
      <c r="M96" s="81"/>
      <c r="N96" s="62"/>
      <c r="O96" s="81"/>
      <c r="P96" s="86"/>
      <c r="Q96" s="81"/>
      <c r="R96" s="81"/>
      <c r="S96" s="62"/>
      <c r="T96" s="81"/>
      <c r="U96" s="81"/>
      <c r="V96" s="91"/>
      <c r="W96" s="70"/>
      <c r="X96" s="10"/>
      <c r="Y96" s="10"/>
      <c r="Z96" s="10"/>
      <c r="AA96" s="10"/>
    </row>
    <row r="97">
      <c r="A97" s="55"/>
      <c r="B97" s="76">
        <f t="shared" si="37"/>
        <v>46099</v>
      </c>
      <c r="C97" s="78" t="s">
        <v>57</v>
      </c>
      <c r="D97" s="79"/>
      <c r="E97" s="62"/>
      <c r="F97" s="81"/>
      <c r="G97" s="81"/>
      <c r="H97" s="81"/>
      <c r="I97" s="81"/>
      <c r="J97" s="62"/>
      <c r="K97" s="83"/>
      <c r="L97" s="81"/>
      <c r="M97" s="81"/>
      <c r="N97" s="62"/>
      <c r="O97" s="81"/>
      <c r="P97" s="86"/>
      <c r="Q97" s="81"/>
      <c r="R97" s="81"/>
      <c r="S97" s="62"/>
      <c r="T97" s="81"/>
      <c r="U97" s="81"/>
      <c r="V97" s="91"/>
      <c r="W97" s="70"/>
      <c r="X97" s="10"/>
      <c r="Y97" s="10"/>
      <c r="Z97" s="10"/>
      <c r="AA97" s="10"/>
    </row>
    <row r="98">
      <c r="A98" s="55"/>
      <c r="B98" s="76">
        <f t="shared" si="37"/>
        <v>46100</v>
      </c>
      <c r="C98" s="78" t="s">
        <v>58</v>
      </c>
      <c r="D98" s="79"/>
      <c r="E98" s="62"/>
      <c r="F98" s="81"/>
      <c r="G98" s="81"/>
      <c r="H98" s="81"/>
      <c r="I98" s="81"/>
      <c r="J98" s="62"/>
      <c r="K98" s="83"/>
      <c r="L98" s="81"/>
      <c r="M98" s="81"/>
      <c r="N98" s="62"/>
      <c r="O98" s="81"/>
      <c r="P98" s="86"/>
      <c r="Q98" s="81"/>
      <c r="R98" s="81"/>
      <c r="S98" s="62"/>
      <c r="T98" s="81"/>
      <c r="U98" s="81"/>
      <c r="V98" s="91"/>
      <c r="W98" s="70"/>
      <c r="X98" s="10"/>
      <c r="Y98" s="10"/>
      <c r="Z98" s="10"/>
      <c r="AA98" s="10"/>
    </row>
    <row r="99">
      <c r="A99" s="55"/>
      <c r="B99" s="76">
        <f t="shared" si="37"/>
        <v>46101</v>
      </c>
      <c r="C99" s="78" t="s">
        <v>60</v>
      </c>
      <c r="D99" s="79"/>
      <c r="E99" s="62"/>
      <c r="F99" s="81"/>
      <c r="G99" s="81"/>
      <c r="H99" s="81"/>
      <c r="I99" s="81"/>
      <c r="J99" s="62"/>
      <c r="K99" s="83"/>
      <c r="L99" s="81"/>
      <c r="M99" s="81"/>
      <c r="N99" s="62"/>
      <c r="O99" s="81"/>
      <c r="P99" s="86"/>
      <c r="Q99" s="81"/>
      <c r="R99" s="81"/>
      <c r="S99" s="62"/>
      <c r="T99" s="81"/>
      <c r="U99" s="81"/>
      <c r="V99" s="91"/>
      <c r="W99" s="70"/>
      <c r="X99" s="10"/>
      <c r="Y99" s="10"/>
      <c r="Z99" s="10"/>
      <c r="AA99" s="10"/>
    </row>
    <row r="100">
      <c r="A100" s="55"/>
      <c r="B100" s="76">
        <f t="shared" si="37"/>
        <v>46102</v>
      </c>
      <c r="C100" s="78" t="s">
        <v>61</v>
      </c>
      <c r="D100" s="79"/>
      <c r="E100" s="62"/>
      <c r="F100" s="81"/>
      <c r="G100" s="81"/>
      <c r="H100" s="81"/>
      <c r="I100" s="81"/>
      <c r="J100" s="62"/>
      <c r="K100" s="81"/>
      <c r="L100" s="81"/>
      <c r="M100" s="81"/>
      <c r="N100" s="62"/>
      <c r="O100" s="81"/>
      <c r="P100" s="86"/>
      <c r="Q100" s="81"/>
      <c r="R100" s="81"/>
      <c r="S100" s="62"/>
      <c r="T100" s="81"/>
      <c r="U100" s="81"/>
      <c r="V100" s="91"/>
      <c r="W100" s="70"/>
      <c r="X100" s="10"/>
      <c r="Y100" s="10"/>
      <c r="Z100" s="10"/>
      <c r="AA100" s="10"/>
    </row>
    <row r="101">
      <c r="A101" s="55"/>
      <c r="B101" s="76">
        <f t="shared" si="37"/>
        <v>46103</v>
      </c>
      <c r="C101" s="113" t="s">
        <v>63</v>
      </c>
      <c r="D101" s="156"/>
      <c r="E101" s="62"/>
      <c r="F101" s="117"/>
      <c r="G101" s="117"/>
      <c r="H101" s="117"/>
      <c r="I101" s="117"/>
      <c r="J101" s="62"/>
      <c r="K101" s="117"/>
      <c r="L101" s="117"/>
      <c r="M101" s="117"/>
      <c r="N101" s="62"/>
      <c r="O101" s="117"/>
      <c r="P101" s="157"/>
      <c r="Q101" s="117"/>
      <c r="R101" s="117"/>
      <c r="S101" s="62"/>
      <c r="T101" s="117"/>
      <c r="U101" s="117"/>
      <c r="V101" s="120"/>
      <c r="W101" s="70"/>
      <c r="X101" s="10"/>
      <c r="Y101" s="10"/>
      <c r="Z101" s="10"/>
      <c r="AA101" s="10"/>
    </row>
    <row r="102">
      <c r="A102" s="122"/>
      <c r="B102" s="124" t="s">
        <v>64</v>
      </c>
      <c r="C102" s="125"/>
      <c r="D102" s="126" t="str">
        <f>IFERROR(AVERAGE(D95:D101),"")</f>
        <v/>
      </c>
      <c r="E102" s="127"/>
      <c r="F102" s="129" t="str">
        <f t="shared" ref="F102:I102" si="38">IFERROR(AVERAGE(F95:F101),"")</f>
        <v/>
      </c>
      <c r="G102" s="129" t="str">
        <f t="shared" si="38"/>
        <v/>
      </c>
      <c r="H102" s="129" t="str">
        <f t="shared" si="38"/>
        <v/>
      </c>
      <c r="I102" s="129" t="str">
        <f t="shared" si="38"/>
        <v/>
      </c>
      <c r="J102" s="127"/>
      <c r="K102" s="129" t="str">
        <f>IFERROR(AVERAGE(K95:K101),"")</f>
        <v/>
      </c>
      <c r="L102" s="129"/>
      <c r="M102" s="129" t="str">
        <f>IFERROR(AVERAGE(M95:M101),"")</f>
        <v/>
      </c>
      <c r="N102" s="127"/>
      <c r="O102" s="129" t="str">
        <f t="shared" ref="O102:Q102" si="39">IFERROR(AVERAGE(O95:O101),"")</f>
        <v/>
      </c>
      <c r="P102" s="130" t="str">
        <f t="shared" si="39"/>
        <v/>
      </c>
      <c r="Q102" s="129" t="str">
        <f t="shared" si="39"/>
        <v/>
      </c>
      <c r="R102" s="129"/>
      <c r="S102" s="127"/>
      <c r="T102" s="129" t="str">
        <f t="shared" ref="T102:V102" si="40">IFERROR(AVERAGE(T95:T101),"")</f>
        <v/>
      </c>
      <c r="U102" s="129" t="str">
        <f t="shared" si="40"/>
        <v/>
      </c>
      <c r="V102" s="129" t="str">
        <f t="shared" si="40"/>
        <v/>
      </c>
      <c r="W102" s="132"/>
      <c r="X102" s="10"/>
      <c r="Y102" s="10"/>
      <c r="Z102" s="10"/>
      <c r="AA102" s="10"/>
    </row>
    <row r="103">
      <c r="A103" s="10"/>
      <c r="B103" s="7"/>
      <c r="C103" s="7"/>
      <c r="D103" s="2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24"/>
      <c r="Q103" s="7"/>
      <c r="R103" s="7"/>
      <c r="S103" s="7"/>
      <c r="T103" s="7"/>
      <c r="U103" s="7"/>
      <c r="V103" s="7"/>
      <c r="W103" s="10"/>
      <c r="X103" s="10"/>
      <c r="Y103" s="10"/>
      <c r="Z103" s="10"/>
      <c r="AA103" s="10"/>
    </row>
    <row r="104">
      <c r="A104" s="27">
        <f>A94+1</f>
        <v>11</v>
      </c>
      <c r="B104" s="28" t="s">
        <v>1</v>
      </c>
      <c r="C104" s="29" t="s">
        <v>9</v>
      </c>
      <c r="D104" s="30" t="s">
        <v>11</v>
      </c>
      <c r="E104" s="33" t="s">
        <v>13</v>
      </c>
      <c r="F104" s="36" t="s">
        <v>15</v>
      </c>
      <c r="G104" s="36" t="s">
        <v>16</v>
      </c>
      <c r="H104" s="36" t="s">
        <v>17</v>
      </c>
      <c r="I104" s="36" t="s">
        <v>18</v>
      </c>
      <c r="J104" s="33" t="s">
        <v>3</v>
      </c>
      <c r="K104" s="36" t="s">
        <v>66</v>
      </c>
      <c r="L104" s="36" t="s">
        <v>20</v>
      </c>
      <c r="M104" s="36" t="s">
        <v>21</v>
      </c>
      <c r="N104" s="33" t="s">
        <v>22</v>
      </c>
      <c r="O104" s="36" t="s">
        <v>23</v>
      </c>
      <c r="P104" s="43" t="s">
        <v>24</v>
      </c>
      <c r="Q104" s="36" t="s">
        <v>25</v>
      </c>
      <c r="R104" s="44" t="s">
        <v>26</v>
      </c>
      <c r="S104" s="33" t="s">
        <v>27</v>
      </c>
      <c r="T104" s="36" t="s">
        <v>28</v>
      </c>
      <c r="U104" s="36" t="s">
        <v>30</v>
      </c>
      <c r="V104" s="47" t="s">
        <v>31</v>
      </c>
      <c r="W104" s="54" t="s">
        <v>34</v>
      </c>
      <c r="X104" s="10"/>
      <c r="Y104" s="10"/>
      <c r="Z104" s="10"/>
      <c r="AA104" s="10"/>
    </row>
    <row r="105">
      <c r="A105" s="55"/>
      <c r="B105" s="57">
        <f>B101+1</f>
        <v>46104</v>
      </c>
      <c r="C105" s="59" t="s">
        <v>41</v>
      </c>
      <c r="D105" s="61"/>
      <c r="E105" s="62"/>
      <c r="F105" s="63"/>
      <c r="G105" s="63"/>
      <c r="H105" s="63"/>
      <c r="I105" s="63"/>
      <c r="J105" s="62"/>
      <c r="K105" s="64"/>
      <c r="L105" s="63"/>
      <c r="M105" s="64"/>
      <c r="N105" s="62"/>
      <c r="O105" s="63"/>
      <c r="P105" s="66"/>
      <c r="Q105" s="63"/>
      <c r="R105" s="64"/>
      <c r="S105" s="62"/>
      <c r="T105" s="63"/>
      <c r="U105" s="63"/>
      <c r="V105" s="68"/>
      <c r="W105" s="70"/>
      <c r="X105" s="10"/>
      <c r="Y105" s="10"/>
      <c r="Z105" s="10"/>
      <c r="AA105" s="10"/>
    </row>
    <row r="106">
      <c r="A106" s="55"/>
      <c r="B106" s="76">
        <f t="shared" ref="B106:B111" si="41">B105+1</f>
        <v>46105</v>
      </c>
      <c r="C106" s="78" t="s">
        <v>47</v>
      </c>
      <c r="D106" s="79"/>
      <c r="E106" s="62"/>
      <c r="F106" s="81"/>
      <c r="G106" s="81"/>
      <c r="H106" s="81"/>
      <c r="I106" s="81"/>
      <c r="J106" s="62"/>
      <c r="K106" s="83"/>
      <c r="L106" s="81"/>
      <c r="M106" s="81"/>
      <c r="N106" s="62"/>
      <c r="O106" s="81"/>
      <c r="P106" s="86"/>
      <c r="Q106" s="81"/>
      <c r="R106" s="81"/>
      <c r="S106" s="62"/>
      <c r="T106" s="81"/>
      <c r="U106" s="81"/>
      <c r="V106" s="91"/>
      <c r="W106" s="70"/>
      <c r="X106" s="10"/>
      <c r="Y106" s="10"/>
      <c r="Z106" s="10"/>
      <c r="AA106" s="10"/>
    </row>
    <row r="107">
      <c r="A107" s="55"/>
      <c r="B107" s="76">
        <f t="shared" si="41"/>
        <v>46106</v>
      </c>
      <c r="C107" s="78" t="s">
        <v>57</v>
      </c>
      <c r="D107" s="79"/>
      <c r="E107" s="62"/>
      <c r="F107" s="81"/>
      <c r="G107" s="81"/>
      <c r="H107" s="81"/>
      <c r="I107" s="81"/>
      <c r="J107" s="62"/>
      <c r="K107" s="83"/>
      <c r="L107" s="81"/>
      <c r="M107" s="81"/>
      <c r="N107" s="62"/>
      <c r="O107" s="81"/>
      <c r="P107" s="86"/>
      <c r="Q107" s="81"/>
      <c r="R107" s="81"/>
      <c r="S107" s="62"/>
      <c r="T107" s="81"/>
      <c r="U107" s="81"/>
      <c r="V107" s="91"/>
      <c r="W107" s="70"/>
      <c r="X107" s="10"/>
      <c r="Y107" s="10"/>
      <c r="Z107" s="10"/>
      <c r="AA107" s="10"/>
    </row>
    <row r="108">
      <c r="A108" s="55"/>
      <c r="B108" s="76">
        <f t="shared" si="41"/>
        <v>46107</v>
      </c>
      <c r="C108" s="78" t="s">
        <v>58</v>
      </c>
      <c r="D108" s="79"/>
      <c r="E108" s="62"/>
      <c r="F108" s="81"/>
      <c r="G108" s="81"/>
      <c r="H108" s="81"/>
      <c r="I108" s="81"/>
      <c r="J108" s="62"/>
      <c r="K108" s="83"/>
      <c r="L108" s="81"/>
      <c r="M108" s="81"/>
      <c r="N108" s="62"/>
      <c r="O108" s="81"/>
      <c r="P108" s="86"/>
      <c r="Q108" s="81"/>
      <c r="R108" s="81"/>
      <c r="S108" s="62"/>
      <c r="T108" s="81"/>
      <c r="U108" s="81"/>
      <c r="V108" s="91"/>
      <c r="W108" s="70"/>
      <c r="X108" s="10"/>
      <c r="Y108" s="10"/>
      <c r="Z108" s="10"/>
      <c r="AA108" s="10"/>
    </row>
    <row r="109">
      <c r="A109" s="55"/>
      <c r="B109" s="76">
        <f t="shared" si="41"/>
        <v>46108</v>
      </c>
      <c r="C109" s="78" t="s">
        <v>60</v>
      </c>
      <c r="D109" s="79"/>
      <c r="E109" s="62"/>
      <c r="F109" s="81"/>
      <c r="G109" s="81"/>
      <c r="H109" s="81"/>
      <c r="I109" s="81"/>
      <c r="J109" s="62"/>
      <c r="K109" s="83"/>
      <c r="L109" s="81"/>
      <c r="M109" s="81"/>
      <c r="N109" s="62"/>
      <c r="O109" s="81"/>
      <c r="P109" s="86"/>
      <c r="Q109" s="81"/>
      <c r="R109" s="81"/>
      <c r="S109" s="62"/>
      <c r="T109" s="81"/>
      <c r="U109" s="81"/>
      <c r="V109" s="91"/>
      <c r="W109" s="70"/>
      <c r="X109" s="10"/>
      <c r="Y109" s="10"/>
      <c r="Z109" s="10"/>
      <c r="AA109" s="10"/>
    </row>
    <row r="110">
      <c r="A110" s="55"/>
      <c r="B110" s="76">
        <f t="shared" si="41"/>
        <v>46109</v>
      </c>
      <c r="C110" s="78" t="s">
        <v>61</v>
      </c>
      <c r="D110" s="79"/>
      <c r="E110" s="62"/>
      <c r="F110" s="81"/>
      <c r="G110" s="81"/>
      <c r="H110" s="81"/>
      <c r="I110" s="81"/>
      <c r="J110" s="62"/>
      <c r="K110" s="81"/>
      <c r="L110" s="81"/>
      <c r="M110" s="81"/>
      <c r="N110" s="62"/>
      <c r="O110" s="81"/>
      <c r="P110" s="86"/>
      <c r="Q110" s="81"/>
      <c r="R110" s="81"/>
      <c r="S110" s="62"/>
      <c r="T110" s="81"/>
      <c r="U110" s="81"/>
      <c r="V110" s="91"/>
      <c r="W110" s="70"/>
      <c r="X110" s="10"/>
      <c r="Y110" s="10"/>
      <c r="Z110" s="10"/>
      <c r="AA110" s="10"/>
    </row>
    <row r="111">
      <c r="A111" s="55"/>
      <c r="B111" s="76">
        <f t="shared" si="41"/>
        <v>46110</v>
      </c>
      <c r="C111" s="113" t="s">
        <v>63</v>
      </c>
      <c r="D111" s="156"/>
      <c r="E111" s="62"/>
      <c r="F111" s="117"/>
      <c r="G111" s="117"/>
      <c r="H111" s="117"/>
      <c r="I111" s="117"/>
      <c r="J111" s="62"/>
      <c r="K111" s="117"/>
      <c r="L111" s="117"/>
      <c r="M111" s="117"/>
      <c r="N111" s="62"/>
      <c r="O111" s="117"/>
      <c r="P111" s="157"/>
      <c r="Q111" s="117"/>
      <c r="R111" s="117"/>
      <c r="S111" s="62"/>
      <c r="T111" s="117"/>
      <c r="U111" s="117"/>
      <c r="V111" s="120"/>
      <c r="W111" s="70"/>
      <c r="X111" s="10"/>
      <c r="Y111" s="10"/>
      <c r="Z111" s="10"/>
      <c r="AA111" s="10"/>
    </row>
    <row r="112">
      <c r="A112" s="122"/>
      <c r="B112" s="124" t="s">
        <v>64</v>
      </c>
      <c r="C112" s="125"/>
      <c r="D112" s="126" t="str">
        <f>IFERROR(AVERAGE(D105:D111),"")</f>
        <v/>
      </c>
      <c r="E112" s="127"/>
      <c r="F112" s="129" t="str">
        <f t="shared" ref="F112:I112" si="42">IFERROR(AVERAGE(F105:F111),"")</f>
        <v/>
      </c>
      <c r="G112" s="129" t="str">
        <f t="shared" si="42"/>
        <v/>
      </c>
      <c r="H112" s="129" t="str">
        <f t="shared" si="42"/>
        <v/>
      </c>
      <c r="I112" s="129" t="str">
        <f t="shared" si="42"/>
        <v/>
      </c>
      <c r="J112" s="127"/>
      <c r="K112" s="129" t="str">
        <f>IFERROR(AVERAGE(K105:K111),"")</f>
        <v/>
      </c>
      <c r="L112" s="129"/>
      <c r="M112" s="129" t="str">
        <f>IFERROR(AVERAGE(M105:M111),"")</f>
        <v/>
      </c>
      <c r="N112" s="127"/>
      <c r="O112" s="129" t="str">
        <f t="shared" ref="O112:Q112" si="43">IFERROR(AVERAGE(O105:O111),"")</f>
        <v/>
      </c>
      <c r="P112" s="130" t="str">
        <f t="shared" si="43"/>
        <v/>
      </c>
      <c r="Q112" s="129" t="str">
        <f t="shared" si="43"/>
        <v/>
      </c>
      <c r="R112" s="129"/>
      <c r="S112" s="127"/>
      <c r="T112" s="129" t="str">
        <f t="shared" ref="T112:V112" si="44">IFERROR(AVERAGE(T105:T111),"")</f>
        <v/>
      </c>
      <c r="U112" s="129" t="str">
        <f t="shared" si="44"/>
        <v/>
      </c>
      <c r="V112" s="129" t="str">
        <f t="shared" si="44"/>
        <v/>
      </c>
      <c r="W112" s="132"/>
      <c r="X112" s="10"/>
      <c r="Y112" s="10"/>
      <c r="Z112" s="10"/>
      <c r="AA112" s="10"/>
    </row>
    <row r="113">
      <c r="A113" s="10"/>
      <c r="B113" s="7"/>
      <c r="C113" s="7"/>
      <c r="D113" s="2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24"/>
      <c r="Q113" s="7"/>
      <c r="R113" s="7"/>
      <c r="S113" s="7"/>
      <c r="T113" s="7"/>
      <c r="U113" s="7"/>
      <c r="V113" s="7"/>
      <c r="W113" s="10"/>
      <c r="X113" s="10"/>
      <c r="Y113" s="10"/>
      <c r="Z113" s="10"/>
      <c r="AA113" s="10"/>
    </row>
    <row r="114">
      <c r="A114" s="27">
        <f>A104+1</f>
        <v>12</v>
      </c>
      <c r="B114" s="28" t="s">
        <v>1</v>
      </c>
      <c r="C114" s="29" t="s">
        <v>9</v>
      </c>
      <c r="D114" s="30" t="s">
        <v>11</v>
      </c>
      <c r="E114" s="33" t="s">
        <v>13</v>
      </c>
      <c r="F114" s="36" t="s">
        <v>15</v>
      </c>
      <c r="G114" s="36" t="s">
        <v>16</v>
      </c>
      <c r="H114" s="36" t="s">
        <v>17</v>
      </c>
      <c r="I114" s="36" t="s">
        <v>18</v>
      </c>
      <c r="J114" s="33" t="s">
        <v>3</v>
      </c>
      <c r="K114" s="36" t="s">
        <v>66</v>
      </c>
      <c r="L114" s="36" t="s">
        <v>20</v>
      </c>
      <c r="M114" s="36" t="s">
        <v>21</v>
      </c>
      <c r="N114" s="33" t="s">
        <v>22</v>
      </c>
      <c r="O114" s="36" t="s">
        <v>23</v>
      </c>
      <c r="P114" s="43" t="s">
        <v>24</v>
      </c>
      <c r="Q114" s="36" t="s">
        <v>25</v>
      </c>
      <c r="R114" s="44" t="s">
        <v>26</v>
      </c>
      <c r="S114" s="33" t="s">
        <v>27</v>
      </c>
      <c r="T114" s="36" t="s">
        <v>28</v>
      </c>
      <c r="U114" s="36" t="s">
        <v>30</v>
      </c>
      <c r="V114" s="47" t="s">
        <v>31</v>
      </c>
      <c r="W114" s="54" t="s">
        <v>34</v>
      </c>
      <c r="X114" s="10"/>
      <c r="Y114" s="10"/>
      <c r="Z114" s="10"/>
      <c r="AA114" s="10"/>
    </row>
    <row r="115">
      <c r="A115" s="55"/>
      <c r="B115" s="57">
        <f>B111+1</f>
        <v>46111</v>
      </c>
      <c r="C115" s="59" t="s">
        <v>41</v>
      </c>
      <c r="D115" s="61"/>
      <c r="E115" s="62"/>
      <c r="F115" s="63"/>
      <c r="G115" s="63"/>
      <c r="H115" s="63"/>
      <c r="I115" s="63"/>
      <c r="J115" s="62"/>
      <c r="K115" s="64"/>
      <c r="L115" s="63"/>
      <c r="M115" s="64"/>
      <c r="N115" s="62"/>
      <c r="O115" s="63"/>
      <c r="P115" s="66"/>
      <c r="Q115" s="63"/>
      <c r="R115" s="64"/>
      <c r="S115" s="62"/>
      <c r="T115" s="63"/>
      <c r="U115" s="63"/>
      <c r="V115" s="68"/>
      <c r="W115" s="70"/>
      <c r="X115" s="10"/>
      <c r="Y115" s="10"/>
      <c r="Z115" s="10"/>
      <c r="AA115" s="10"/>
    </row>
    <row r="116">
      <c r="A116" s="55"/>
      <c r="B116" s="76">
        <f t="shared" ref="B116:B121" si="45">B115+1</f>
        <v>46112</v>
      </c>
      <c r="C116" s="78" t="s">
        <v>47</v>
      </c>
      <c r="D116" s="79"/>
      <c r="E116" s="62"/>
      <c r="F116" s="81"/>
      <c r="G116" s="81"/>
      <c r="H116" s="81"/>
      <c r="I116" s="81"/>
      <c r="J116" s="62"/>
      <c r="K116" s="83"/>
      <c r="L116" s="81"/>
      <c r="M116" s="81"/>
      <c r="N116" s="62"/>
      <c r="O116" s="81"/>
      <c r="P116" s="86"/>
      <c r="Q116" s="81"/>
      <c r="R116" s="81"/>
      <c r="S116" s="62"/>
      <c r="T116" s="81"/>
      <c r="U116" s="81"/>
      <c r="V116" s="91"/>
      <c r="W116" s="70"/>
      <c r="X116" s="10"/>
      <c r="Y116" s="10"/>
      <c r="Z116" s="10"/>
      <c r="AA116" s="10"/>
    </row>
    <row r="117">
      <c r="A117" s="55"/>
      <c r="B117" s="76">
        <f t="shared" si="45"/>
        <v>46113</v>
      </c>
      <c r="C117" s="78" t="s">
        <v>57</v>
      </c>
      <c r="D117" s="79"/>
      <c r="E117" s="62"/>
      <c r="F117" s="81"/>
      <c r="G117" s="81"/>
      <c r="H117" s="81"/>
      <c r="I117" s="81"/>
      <c r="J117" s="62"/>
      <c r="K117" s="83"/>
      <c r="L117" s="81"/>
      <c r="M117" s="81"/>
      <c r="N117" s="62"/>
      <c r="O117" s="81"/>
      <c r="P117" s="86"/>
      <c r="Q117" s="81"/>
      <c r="R117" s="81"/>
      <c r="S117" s="62"/>
      <c r="T117" s="81"/>
      <c r="U117" s="81"/>
      <c r="V117" s="91"/>
      <c r="W117" s="70"/>
      <c r="X117" s="10"/>
      <c r="Y117" s="10"/>
      <c r="Z117" s="10"/>
      <c r="AA117" s="10"/>
    </row>
    <row r="118">
      <c r="A118" s="55"/>
      <c r="B118" s="76">
        <f t="shared" si="45"/>
        <v>46114</v>
      </c>
      <c r="C118" s="78" t="s">
        <v>58</v>
      </c>
      <c r="D118" s="79"/>
      <c r="E118" s="62"/>
      <c r="F118" s="81"/>
      <c r="G118" s="81"/>
      <c r="H118" s="81"/>
      <c r="I118" s="81"/>
      <c r="J118" s="62"/>
      <c r="K118" s="83"/>
      <c r="L118" s="81"/>
      <c r="M118" s="81"/>
      <c r="N118" s="62"/>
      <c r="O118" s="81"/>
      <c r="P118" s="86"/>
      <c r="Q118" s="81"/>
      <c r="R118" s="81"/>
      <c r="S118" s="62"/>
      <c r="T118" s="81"/>
      <c r="U118" s="81"/>
      <c r="V118" s="91"/>
      <c r="W118" s="70"/>
      <c r="X118" s="10"/>
      <c r="Y118" s="10"/>
      <c r="Z118" s="10"/>
      <c r="AA118" s="10"/>
    </row>
    <row r="119">
      <c r="A119" s="55"/>
      <c r="B119" s="76">
        <f t="shared" si="45"/>
        <v>46115</v>
      </c>
      <c r="C119" s="78" t="s">
        <v>60</v>
      </c>
      <c r="D119" s="79"/>
      <c r="E119" s="62"/>
      <c r="F119" s="81"/>
      <c r="G119" s="81"/>
      <c r="H119" s="81"/>
      <c r="I119" s="81"/>
      <c r="J119" s="62"/>
      <c r="K119" s="83"/>
      <c r="L119" s="81"/>
      <c r="M119" s="81"/>
      <c r="N119" s="62"/>
      <c r="O119" s="81"/>
      <c r="P119" s="86"/>
      <c r="Q119" s="81"/>
      <c r="R119" s="81"/>
      <c r="S119" s="62"/>
      <c r="T119" s="81"/>
      <c r="U119" s="81"/>
      <c r="V119" s="91"/>
      <c r="W119" s="70"/>
      <c r="X119" s="10"/>
      <c r="Y119" s="10"/>
      <c r="Z119" s="10"/>
      <c r="AA119" s="10"/>
    </row>
    <row r="120">
      <c r="A120" s="55"/>
      <c r="B120" s="76">
        <f t="shared" si="45"/>
        <v>46116</v>
      </c>
      <c r="C120" s="78" t="s">
        <v>61</v>
      </c>
      <c r="D120" s="79"/>
      <c r="E120" s="62"/>
      <c r="F120" s="81"/>
      <c r="G120" s="81"/>
      <c r="H120" s="81"/>
      <c r="I120" s="81"/>
      <c r="J120" s="62"/>
      <c r="K120" s="81"/>
      <c r="L120" s="81"/>
      <c r="M120" s="81"/>
      <c r="N120" s="62"/>
      <c r="O120" s="81"/>
      <c r="P120" s="86"/>
      <c r="Q120" s="81"/>
      <c r="R120" s="81"/>
      <c r="S120" s="62"/>
      <c r="T120" s="81"/>
      <c r="U120" s="81"/>
      <c r="V120" s="91"/>
      <c r="W120" s="70"/>
      <c r="X120" s="10"/>
      <c r="Y120" s="10"/>
      <c r="Z120" s="10"/>
      <c r="AA120" s="10"/>
    </row>
    <row r="121">
      <c r="A121" s="55"/>
      <c r="B121" s="76">
        <f t="shared" si="45"/>
        <v>46117</v>
      </c>
      <c r="C121" s="113" t="s">
        <v>63</v>
      </c>
      <c r="D121" s="156"/>
      <c r="E121" s="62"/>
      <c r="F121" s="117"/>
      <c r="G121" s="117"/>
      <c r="H121" s="117"/>
      <c r="I121" s="117"/>
      <c r="J121" s="62"/>
      <c r="K121" s="117"/>
      <c r="L121" s="117"/>
      <c r="M121" s="117"/>
      <c r="N121" s="62"/>
      <c r="O121" s="117"/>
      <c r="P121" s="157"/>
      <c r="Q121" s="117"/>
      <c r="R121" s="262"/>
      <c r="S121" s="62"/>
      <c r="T121" s="117"/>
      <c r="U121" s="117"/>
      <c r="V121" s="120"/>
      <c r="W121" s="70"/>
      <c r="X121" s="10"/>
      <c r="Y121" s="10"/>
      <c r="Z121" s="10"/>
      <c r="AA121" s="10"/>
    </row>
    <row r="122">
      <c r="A122" s="122"/>
      <c r="B122" s="124" t="s">
        <v>64</v>
      </c>
      <c r="C122" s="125"/>
      <c r="D122" s="126" t="str">
        <f>IFERROR(AVERAGE(D115:D121),"")</f>
        <v/>
      </c>
      <c r="E122" s="127"/>
      <c r="F122" s="129" t="str">
        <f t="shared" ref="F122:I122" si="46">IFERROR(AVERAGE(F115:F121),"")</f>
        <v/>
      </c>
      <c r="G122" s="129" t="str">
        <f t="shared" si="46"/>
        <v/>
      </c>
      <c r="H122" s="129" t="str">
        <f t="shared" si="46"/>
        <v/>
      </c>
      <c r="I122" s="129" t="str">
        <f t="shared" si="46"/>
        <v/>
      </c>
      <c r="J122" s="127"/>
      <c r="K122" s="129" t="str">
        <f>IFERROR(AVERAGE(K115:K121),"")</f>
        <v/>
      </c>
      <c r="L122" s="129"/>
      <c r="M122" s="129" t="str">
        <f>IFERROR(AVERAGE(M115:M121),"")</f>
        <v/>
      </c>
      <c r="N122" s="127"/>
      <c r="O122" s="129" t="str">
        <f t="shared" ref="O122:Q122" si="47">IFERROR(AVERAGE(O115:O121),"")</f>
        <v/>
      </c>
      <c r="P122" s="130" t="str">
        <f t="shared" si="47"/>
        <v/>
      </c>
      <c r="Q122" s="129" t="str">
        <f t="shared" si="47"/>
        <v/>
      </c>
      <c r="R122" s="129"/>
      <c r="S122" s="127"/>
      <c r="T122" s="129" t="str">
        <f t="shared" ref="T122:V122" si="48">IFERROR(AVERAGE(T115:T121),"")</f>
        <v/>
      </c>
      <c r="U122" s="129" t="str">
        <f t="shared" si="48"/>
        <v/>
      </c>
      <c r="V122" s="129" t="str">
        <f t="shared" si="48"/>
        <v/>
      </c>
      <c r="W122" s="132"/>
      <c r="X122" s="10"/>
      <c r="Y122" s="10"/>
      <c r="Z122" s="10"/>
      <c r="AA122" s="10"/>
    </row>
    <row r="123">
      <c r="A123" s="10"/>
      <c r="B123" s="10"/>
      <c r="C123" s="10"/>
      <c r="D123" s="1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4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2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4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2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4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4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2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4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2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4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2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4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2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4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2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4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2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4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2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4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2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4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2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4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2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4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2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4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2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4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2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4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2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4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2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4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2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4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2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4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2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4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2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4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2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4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2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4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2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4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2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4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2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4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2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4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2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4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2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4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2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4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2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4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2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4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2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4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2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4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2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4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2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4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2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4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2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4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2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4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2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4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2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4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2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4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2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4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2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4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2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4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2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4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4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2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4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4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2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4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4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4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2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4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2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4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2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4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2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4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2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4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2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4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2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4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2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4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2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4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2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4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2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4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2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4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2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4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2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4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2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4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2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4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2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4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2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4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2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4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2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4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2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4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2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4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2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4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2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4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2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4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2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4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2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4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2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4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4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2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4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2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4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2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4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2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4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2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4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2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4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2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4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2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4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2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4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2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4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2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4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2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4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2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4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2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4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2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4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2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4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2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4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2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4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2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4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2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4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2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4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2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4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2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4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2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4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2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4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2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4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2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4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2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4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2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4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4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2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4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2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4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2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4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2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4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2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4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2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4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2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4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2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4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2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4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2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4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2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4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2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4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2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4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2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4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2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4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2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4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2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4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2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4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2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4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2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4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2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4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2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4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2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4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2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4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2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4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2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4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2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4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2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4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2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4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2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4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2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4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2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4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2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4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2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4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2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4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2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4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2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4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2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4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2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4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2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4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2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4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2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4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2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4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2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4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2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4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2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4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2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4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2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4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2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4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2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4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2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4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2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4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2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4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2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4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2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4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2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4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2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4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2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4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2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4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2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4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2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4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2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4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2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4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2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4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2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4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2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4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2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4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2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4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2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4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2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4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2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4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2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4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2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4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2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4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2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4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2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4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2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4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2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4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2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4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2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4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2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4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2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4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2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4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2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4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2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4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2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4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2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4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2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4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2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4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2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4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2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4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2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4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2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4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2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4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2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4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2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4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2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4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2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4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2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4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2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4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4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4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4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4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4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4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4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4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4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4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4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4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4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4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4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4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4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4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4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4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4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4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4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4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4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4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4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4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4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4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4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4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4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4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4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4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2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4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4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4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4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4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4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2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4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2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4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4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2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4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4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4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4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4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4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4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4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4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4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4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4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4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2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4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4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4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4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4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4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4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2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4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2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4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4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2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4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2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4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2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4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2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4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2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4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2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4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2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4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2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4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2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4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2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4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2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4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2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4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2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4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2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4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2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4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2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4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2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4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2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4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2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4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2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4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2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4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2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4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2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4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2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4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2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4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2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4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2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4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2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4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2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4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2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4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2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4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2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4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2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4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2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4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2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4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2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4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2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4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2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4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2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4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2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4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2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4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2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4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2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4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2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4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2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4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2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4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2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4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2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4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2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4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2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4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2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4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2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4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2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4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2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4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2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4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2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4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2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4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2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4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2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4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2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4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2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4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2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4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2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4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2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4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2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4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2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4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2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4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2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4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2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4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2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4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2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4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2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4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2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4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2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4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2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4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2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4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2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4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2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4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2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4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2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4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2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4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2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4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2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4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2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4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2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4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2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4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2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4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2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4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2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4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2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4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2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4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2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4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2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4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2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4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2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4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2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4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2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4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2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4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2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4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2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4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2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4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2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4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2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4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2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4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2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4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2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4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2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4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2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4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2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4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2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4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2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4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2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4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2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4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2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4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2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4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2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4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2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4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2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4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2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4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2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4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2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4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2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4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2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4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2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4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2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4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2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4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2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4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2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4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2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4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2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4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2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4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2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4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2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4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2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4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2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4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2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4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2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4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2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4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2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4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2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4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2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4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2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4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2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4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2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4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2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4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2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4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2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4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2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4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2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4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2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4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2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4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2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4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2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4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2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4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2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4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2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4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2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4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2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4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2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4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2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4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2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4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2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4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2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4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2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4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2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4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2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4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2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4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2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4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2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4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2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4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2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4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2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4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2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4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2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4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2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4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2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4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2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4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2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4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2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4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2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4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2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4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2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4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2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4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2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4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2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4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2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4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2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4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2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4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2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4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2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4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2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4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2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4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2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4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2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4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2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4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2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4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2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4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2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4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2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4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2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4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2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4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2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4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2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4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2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4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2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4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2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4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2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4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2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4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2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4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2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4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2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4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2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4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2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4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2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4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2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4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2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4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2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4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2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4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2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4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2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4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2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4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2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4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2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4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2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4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2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4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2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4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2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4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2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4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2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4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2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4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2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4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2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4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2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4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2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4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2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4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2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4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2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4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2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4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2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4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2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4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2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4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2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4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2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4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2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4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2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4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2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4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2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4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2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4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2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4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2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4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2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4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2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4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2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4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2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4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2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4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2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4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2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4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2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4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2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4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2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4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2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4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2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4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2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4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2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4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2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4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2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4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2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4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2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4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2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4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2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4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2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4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2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4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2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4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2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4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2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4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2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4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2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4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2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4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2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4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2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4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2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4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2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4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2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4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2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4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2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4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2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4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2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4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2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4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2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4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2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4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2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4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2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4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2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4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2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4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2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4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2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4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2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4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2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4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2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4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2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4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2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4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2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4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2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4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2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4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2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4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2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4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2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4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2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4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2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4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2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4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2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4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2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4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2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4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2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4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2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4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2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4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2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4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2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4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2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4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2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4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2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4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2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4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2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4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2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4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2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4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2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4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2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4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2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4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2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4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2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4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2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4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2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4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2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4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2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4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2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4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2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4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2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4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2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4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2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4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2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4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2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4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2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4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2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4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2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4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2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4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2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4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2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4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2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4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2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4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2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4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2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4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2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4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2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4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2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4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2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4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2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4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2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4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2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4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2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4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2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4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2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4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2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4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2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4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2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4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2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4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2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4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2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4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2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4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2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4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2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4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2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4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2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4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2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4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2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4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2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4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2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4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2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4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2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4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2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4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2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4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2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4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2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4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2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4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2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4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2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4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2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4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2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4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2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4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2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4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2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4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2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4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2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4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2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4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2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4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2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4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2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4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2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4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2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4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2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4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2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4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2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4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2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4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2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4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2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4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2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4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2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4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2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4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2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4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2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4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2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4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2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4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2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4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2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4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2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4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2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4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2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4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2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4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2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4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2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4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2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4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2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4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2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4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2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4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2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4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2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4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2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4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2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4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2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4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2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4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2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4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2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4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2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4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2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4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2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4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2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4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2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4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2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4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2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4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2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4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2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4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2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4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2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4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2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4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2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4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2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4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2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4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2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4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2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4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2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4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2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4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2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4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2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4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2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4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2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4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2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4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2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4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2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4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2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4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2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4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2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4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2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4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2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4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2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4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2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4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2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4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2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4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2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4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2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4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2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4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2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4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2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4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2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4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2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4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2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4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2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4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2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4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2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4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2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4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2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4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2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4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2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4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2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4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2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4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2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4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2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4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2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4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2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4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2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4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2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4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2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4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2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4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2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4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2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4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2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4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2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4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2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4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2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4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2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4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2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4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2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4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2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4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2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4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2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4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2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4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2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4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2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4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2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4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2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4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2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4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2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4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2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4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2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4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2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4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2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4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2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4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2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4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2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4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2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4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2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4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2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4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2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4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2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4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2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4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2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4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2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4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2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4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2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4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2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4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2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4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2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4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2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4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2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4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2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4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2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4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2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4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2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4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2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4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2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4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2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4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2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4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2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4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2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4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2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4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2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4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2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4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2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4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2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4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2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4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2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4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2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4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2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4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2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4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2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4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2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4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2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4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2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4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2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4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2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4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2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4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2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4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2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4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2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4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2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4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2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4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2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4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2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4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2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4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2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4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2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4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2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4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2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4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2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4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2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4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2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4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2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4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2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4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2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4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2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4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</sheetData>
  <mergeCells count="85">
    <mergeCell ref="A54:A62"/>
    <mergeCell ref="E64:E72"/>
    <mergeCell ref="J64:J72"/>
    <mergeCell ref="N64:N72"/>
    <mergeCell ref="S64:S72"/>
    <mergeCell ref="W64:W72"/>
    <mergeCell ref="B72:C72"/>
    <mergeCell ref="A64:A72"/>
    <mergeCell ref="E74:E82"/>
    <mergeCell ref="J74:J82"/>
    <mergeCell ref="N74:N82"/>
    <mergeCell ref="S74:S82"/>
    <mergeCell ref="W74:W82"/>
    <mergeCell ref="B82:C82"/>
    <mergeCell ref="A74:A82"/>
    <mergeCell ref="E84:E92"/>
    <mergeCell ref="J84:J92"/>
    <mergeCell ref="N84:N92"/>
    <mergeCell ref="S84:S92"/>
    <mergeCell ref="W84:W92"/>
    <mergeCell ref="B92:C92"/>
    <mergeCell ref="A84:A92"/>
    <mergeCell ref="E94:E102"/>
    <mergeCell ref="J94:J102"/>
    <mergeCell ref="N94:N102"/>
    <mergeCell ref="S94:S102"/>
    <mergeCell ref="W94:W102"/>
    <mergeCell ref="B102:C102"/>
    <mergeCell ref="A1:A3"/>
    <mergeCell ref="E4:E12"/>
    <mergeCell ref="J4:J12"/>
    <mergeCell ref="N4:N12"/>
    <mergeCell ref="S4:S12"/>
    <mergeCell ref="W4:W12"/>
    <mergeCell ref="B12:C12"/>
    <mergeCell ref="A4:A12"/>
    <mergeCell ref="E14:E22"/>
    <mergeCell ref="J14:J22"/>
    <mergeCell ref="N14:N22"/>
    <mergeCell ref="S14:S22"/>
    <mergeCell ref="W14:W22"/>
    <mergeCell ref="B22:C22"/>
    <mergeCell ref="A14:A22"/>
    <mergeCell ref="E24:E32"/>
    <mergeCell ref="J24:J32"/>
    <mergeCell ref="N24:N32"/>
    <mergeCell ref="S24:S32"/>
    <mergeCell ref="W24:W32"/>
    <mergeCell ref="B32:C32"/>
    <mergeCell ref="A24:A32"/>
    <mergeCell ref="E34:E42"/>
    <mergeCell ref="J34:J42"/>
    <mergeCell ref="N34:N42"/>
    <mergeCell ref="S34:S42"/>
    <mergeCell ref="W34:W42"/>
    <mergeCell ref="B42:C42"/>
    <mergeCell ref="A34:A42"/>
    <mergeCell ref="E44:E52"/>
    <mergeCell ref="J44:J52"/>
    <mergeCell ref="N44:N52"/>
    <mergeCell ref="S44:S52"/>
    <mergeCell ref="W44:W52"/>
    <mergeCell ref="B52:C52"/>
    <mergeCell ref="A44:A52"/>
    <mergeCell ref="E54:E62"/>
    <mergeCell ref="J54:J62"/>
    <mergeCell ref="N54:N62"/>
    <mergeCell ref="S54:S62"/>
    <mergeCell ref="W54:W62"/>
    <mergeCell ref="B62:C62"/>
    <mergeCell ref="A104:A112"/>
    <mergeCell ref="A114:A122"/>
    <mergeCell ref="E114:E122"/>
    <mergeCell ref="J114:J122"/>
    <mergeCell ref="N114:N122"/>
    <mergeCell ref="S114:S122"/>
    <mergeCell ref="W114:W122"/>
    <mergeCell ref="B122:C122"/>
    <mergeCell ref="A94:A102"/>
    <mergeCell ref="E104:E112"/>
    <mergeCell ref="J104:J112"/>
    <mergeCell ref="N104:N112"/>
    <mergeCell ref="S104:S112"/>
    <mergeCell ref="W104:W112"/>
    <mergeCell ref="B112:C112"/>
  </mergeCells>
  <conditionalFormatting sqref="K5:K11 K15:K21 K25:K31 K35:K41 K45:K51 K55:K61 K65:K71 K75:K81 K85:K91 K95:K101 K105:K111 K115:K121">
    <cfRule type="colorScale" priority="1">
      <colorScale>
        <cfvo type="formula" val="1"/>
        <cfvo type="formula" val="5"/>
        <color rgb="FFEA9999"/>
        <color rgb="FF93C47D"/>
      </colorScale>
    </cfRule>
  </conditionalFormatting>
  <conditionalFormatting sqref="I5:I11 M5:M11 R5:R11 I15:I21 M15:M21 R15:R21 I25:I31 M25:M31 R25:R31 I35:I41 M35:M41 R35:R41 I45:I51 M45:M51 R45:R51 I55:I61 M55:M61 R55:R61 I65:I71 M65:M71 R65:R71 I75:I81 M75:M81 R75:R81 I85:I91 M85:M91 R85:R91 I95:I101 M95:M101 R95:R101 I105:I111 M105:M111 R105:R111 I115:I121 M115:M121 R115:R121">
    <cfRule type="colorScale" priority="2">
      <colorScale>
        <cfvo type="formula" val="1"/>
        <cfvo type="formula" val="5"/>
        <color rgb="FFEA9999"/>
        <color rgb="FF93C47D"/>
      </colorScale>
    </cfRule>
  </conditionalFormatting>
  <conditionalFormatting sqref="F5:F11 F15:F21 F25:F31 F35:F41 F45:F51 F55:F61 F65:F71 F75:F81 F85:F91 F95:F101 F105:F111 F115:F121">
    <cfRule type="colorScale" priority="3">
      <colorScale>
        <cfvo type="formula" val="1"/>
        <cfvo type="formula" val="5"/>
        <color rgb="FFEA9999"/>
        <color rgb="FF93C47D"/>
      </colorScale>
    </cfRule>
  </conditionalFormatting>
  <dataValidations>
    <dataValidation type="list" allowBlank="1" showDropDown="1" showErrorMessage="1" sqref="F5:F11 I5:I11 K5:K11 M5:M11 R5:R11 F15:F21 I15:I21 K15:K21 M15:M21 R15:R21 F25:F31 I25:I31 K25:K31 M25:M31 R25:R31 F35:F41 I35:I41 K35:K41 M35:M41 R35:R41 F45:F51 I45:I51 K45:K51 M45:M51 R45:R51 F55:F61 I55:I61 K55:K61 M55:M61 R55:R61 F65:F71 I65:I71 K65:K71 M65:M71 R65:R71 F75:F81 I75:I81 K75:K81 M75:M81 R75:R81 F85:F91 I85:I91 K85:K91 M85:M91 R85:R91 F95:F101 I95:I101 K95:K101 M95:M101 R95:R101 F105:F111 I105:I111 K105:K111 M105:M111 R105:R111 F115:F121 I115:I121 K115:K121 M115:M121 R115:R121">
      <formula1>"1,2,3,4,5"</formula1>
    </dataValidation>
  </dataValidations>
  <hyperlinks>
    <hyperlink r:id="rId1" ref="W4"/>
    <hyperlink r:id="rId2" ref="W14"/>
    <hyperlink r:id="rId3" ref="W24"/>
    <hyperlink r:id="rId4" ref="W34"/>
    <hyperlink r:id="rId5" ref="W44"/>
    <hyperlink r:id="rId6" ref="W54"/>
    <hyperlink r:id="rId7" ref="W64"/>
    <hyperlink r:id="rId8" ref="W74"/>
    <hyperlink r:id="rId9" ref="W84"/>
    <hyperlink r:id="rId10" ref="W94"/>
    <hyperlink r:id="rId11" ref="W104"/>
    <hyperlink r:id="rId12" ref="W11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0.63"/>
    <col customWidth="1" min="3" max="3" width="22.63"/>
    <col customWidth="1" min="4" max="4" width="13.88"/>
    <col customWidth="1" min="5" max="5" width="11.5"/>
    <col customWidth="1" min="6" max="6" width="12.38"/>
    <col customWidth="1" min="7" max="8" width="13.38"/>
    <col customWidth="1" min="9" max="9" width="12.38"/>
    <col customWidth="1" min="10" max="11" width="6.38"/>
    <col customWidth="1" min="12" max="12" width="7.63"/>
    <col customWidth="1" min="13" max="13" width="13.88"/>
    <col customWidth="1" min="14" max="14" width="2.13"/>
    <col customWidth="1" min="15" max="20" width="10.63"/>
    <col customWidth="1" min="21" max="21" width="29.63"/>
    <col customWidth="1" min="22" max="28" width="10.63"/>
  </cols>
  <sheetData>
    <row r="1" ht="14.25" customHeight="1">
      <c r="A1" s="8"/>
      <c r="B1" s="8"/>
      <c r="C1" s="8"/>
      <c r="D1" s="11"/>
      <c r="E1" s="23"/>
      <c r="F1" s="23"/>
      <c r="G1" s="23"/>
      <c r="H1" s="23"/>
      <c r="I1" s="23"/>
      <c r="J1" s="8"/>
      <c r="K1" s="26"/>
      <c r="L1" s="2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31"/>
      <c r="AB1" s="32"/>
    </row>
    <row r="2" ht="14.25" customHeight="1">
      <c r="A2" s="8"/>
      <c r="B2" s="35"/>
      <c r="C2" s="35"/>
      <c r="D2" s="38"/>
      <c r="E2" s="39"/>
      <c r="F2" s="39"/>
      <c r="G2" s="39"/>
      <c r="H2" s="39"/>
      <c r="I2" s="39"/>
      <c r="J2" s="35"/>
      <c r="K2" s="41"/>
      <c r="L2" s="41"/>
      <c r="M2" s="35"/>
      <c r="N2" s="8"/>
      <c r="O2" s="8"/>
      <c r="P2" s="35"/>
      <c r="Q2" s="35"/>
      <c r="R2" s="35"/>
      <c r="S2" s="35"/>
      <c r="T2" s="35"/>
      <c r="U2" s="46" t="s">
        <v>29</v>
      </c>
      <c r="V2" s="48" t="s">
        <v>33</v>
      </c>
      <c r="W2" s="49" t="s">
        <v>35</v>
      </c>
      <c r="X2" s="50" t="s">
        <v>36</v>
      </c>
      <c r="Y2" s="51" t="s">
        <v>37</v>
      </c>
      <c r="Z2" s="52" t="s">
        <v>38</v>
      </c>
      <c r="AA2" s="53" t="s">
        <v>39</v>
      </c>
      <c r="AB2" s="32"/>
    </row>
    <row r="3" ht="14.25" customHeight="1">
      <c r="A3" s="31"/>
      <c r="B3" s="56" t="s">
        <v>40</v>
      </c>
      <c r="C3" s="58"/>
      <c r="D3" s="60" t="s">
        <v>42</v>
      </c>
      <c r="E3" s="65">
        <f t="shared" ref="E3:I3" si="1">SUM(E5:E44)</f>
        <v>0</v>
      </c>
      <c r="F3" s="65">
        <f t="shared" si="1"/>
        <v>0</v>
      </c>
      <c r="G3" s="65">
        <f t="shared" si="1"/>
        <v>0</v>
      </c>
      <c r="H3" s="65">
        <f t="shared" si="1"/>
        <v>0</v>
      </c>
      <c r="I3" s="65">
        <f t="shared" si="1"/>
        <v>0</v>
      </c>
      <c r="J3" s="67"/>
      <c r="K3" s="69"/>
      <c r="L3" s="69"/>
      <c r="M3" s="71"/>
      <c r="N3" s="72"/>
      <c r="O3" s="31"/>
      <c r="P3" s="32"/>
      <c r="Q3" s="32"/>
      <c r="R3" s="32"/>
      <c r="S3" s="32"/>
      <c r="T3" s="32"/>
      <c r="AB3" s="32"/>
    </row>
    <row r="4" ht="14.25" customHeight="1">
      <c r="A4" s="31"/>
      <c r="B4" s="73" t="s">
        <v>43</v>
      </c>
      <c r="C4" s="74" t="s">
        <v>44</v>
      </c>
      <c r="D4" s="84" t="s">
        <v>45</v>
      </c>
      <c r="E4" s="89" t="s">
        <v>51</v>
      </c>
      <c r="F4" s="89" t="s">
        <v>52</v>
      </c>
      <c r="G4" s="89" t="s">
        <v>53</v>
      </c>
      <c r="H4" s="89" t="s">
        <v>54</v>
      </c>
      <c r="I4" s="89" t="s">
        <v>55</v>
      </c>
      <c r="J4" s="92" t="s">
        <v>56</v>
      </c>
      <c r="K4" s="94"/>
      <c r="L4" s="95"/>
      <c r="M4" s="97" t="s">
        <v>14</v>
      </c>
      <c r="N4" s="72"/>
      <c r="O4" s="31"/>
      <c r="P4" s="32"/>
      <c r="Q4" s="32"/>
      <c r="R4" s="32"/>
      <c r="S4" s="32"/>
      <c r="T4" s="32"/>
      <c r="U4" s="99" t="s">
        <v>59</v>
      </c>
      <c r="V4" s="101">
        <v>100.0</v>
      </c>
      <c r="W4" s="103">
        <v>900.0</v>
      </c>
      <c r="X4" s="104">
        <v>0.0</v>
      </c>
      <c r="Y4" s="105">
        <v>0.0</v>
      </c>
      <c r="Z4" s="108">
        <v>100.0</v>
      </c>
      <c r="AA4" s="110">
        <v>0.0</v>
      </c>
      <c r="AB4" s="32"/>
    </row>
    <row r="5" ht="14.25" customHeight="1">
      <c r="A5" s="31"/>
      <c r="B5" s="116" t="s">
        <v>62</v>
      </c>
      <c r="C5" s="121"/>
      <c r="D5" s="123"/>
      <c r="E5" s="128" t="str">
        <f t="shared" ref="E5:E44" si="2">IFERROR(ROUND(INDEX(W:W,MATCH($C5,$U:$U,0))/ROUND(V4/D5,2),0),"")</f>
        <v/>
      </c>
      <c r="F5" s="128" t="str">
        <f t="shared" ref="F5:F44" si="3">IFERROR(ROUND(INDEX(X:X,MATCH($C5,$U:$U,0))/ROUND(V4/D5,2),0),"")</f>
        <v/>
      </c>
      <c r="G5" s="128" t="str">
        <f t="shared" ref="G5:G44" si="4">IFERROR(ROUND(INDEX(Y:Y,MATCH($C5,$U:$U,0))/ROUND(V4/D5,2),0),"")</f>
        <v/>
      </c>
      <c r="H5" s="128" t="str">
        <f t="shared" ref="H5:H44" si="5">IFERROR(ROUND(INDEX(Z:Z,MATCH($C5,$U:$U,0))/ROUND(V4/D5,2),0),"")</f>
        <v/>
      </c>
      <c r="I5" s="128" t="str">
        <f t="shared" ref="I5:I44" si="6">IFERROR(ROUND(INDEX(AA:AA,MATCH($C5,$U:$U,0))/ROUND(V4/D5,2),0),"")</f>
        <v/>
      </c>
      <c r="J5" s="133" t="s">
        <v>52</v>
      </c>
      <c r="K5" s="134">
        <f>SUM(F5:F12)</f>
        <v>0</v>
      </c>
      <c r="L5" s="134">
        <f>SUM(E5:E12)</f>
        <v>0</v>
      </c>
      <c r="M5" s="136"/>
      <c r="N5" s="72"/>
      <c r="O5" s="31"/>
      <c r="P5" s="137"/>
      <c r="Q5" s="137"/>
      <c r="R5" s="137"/>
      <c r="S5" s="32"/>
      <c r="T5" s="32"/>
      <c r="U5" s="99" t="s">
        <v>65</v>
      </c>
      <c r="V5" s="101">
        <v>100.0</v>
      </c>
      <c r="W5" s="103">
        <v>900.0</v>
      </c>
      <c r="X5" s="104">
        <v>0.0</v>
      </c>
      <c r="Y5" s="105">
        <v>0.0</v>
      </c>
      <c r="Z5" s="108">
        <v>100.0</v>
      </c>
      <c r="AA5" s="110">
        <v>0.0</v>
      </c>
      <c r="AB5" s="32"/>
    </row>
    <row r="6" ht="14.25" customHeight="1">
      <c r="A6" s="31"/>
      <c r="B6" s="138"/>
      <c r="C6" s="139"/>
      <c r="D6" s="140"/>
      <c r="E6" s="141" t="str">
        <f t="shared" si="2"/>
        <v/>
      </c>
      <c r="F6" s="141" t="str">
        <f t="shared" si="3"/>
        <v/>
      </c>
      <c r="G6" s="141" t="str">
        <f t="shared" si="4"/>
        <v/>
      </c>
      <c r="H6" s="141" t="str">
        <f t="shared" si="5"/>
        <v/>
      </c>
      <c r="I6" s="141" t="str">
        <f t="shared" si="6"/>
        <v/>
      </c>
      <c r="J6" s="142"/>
      <c r="K6" s="142"/>
      <c r="L6" s="143"/>
      <c r="M6" s="144"/>
      <c r="N6" s="72"/>
      <c r="O6" s="31"/>
      <c r="P6" s="145" t="s">
        <v>9</v>
      </c>
      <c r="Q6" s="145" t="s">
        <v>67</v>
      </c>
      <c r="R6" s="146" t="s">
        <v>68</v>
      </c>
      <c r="S6" s="147"/>
      <c r="T6" s="32"/>
      <c r="U6" s="99" t="s">
        <v>69</v>
      </c>
      <c r="V6" s="101">
        <v>100.0</v>
      </c>
      <c r="W6" s="103">
        <v>616.0</v>
      </c>
      <c r="X6" s="104">
        <v>28.0</v>
      </c>
      <c r="Y6" s="105">
        <v>7.9</v>
      </c>
      <c r="Z6" s="108">
        <v>52.0</v>
      </c>
      <c r="AA6" s="110">
        <v>8.8</v>
      </c>
      <c r="AB6" s="32"/>
    </row>
    <row r="7" ht="14.25" customHeight="1">
      <c r="A7" s="31"/>
      <c r="B7" s="138"/>
      <c r="C7" s="148"/>
      <c r="D7" s="140"/>
      <c r="E7" s="141" t="str">
        <f t="shared" si="2"/>
        <v/>
      </c>
      <c r="F7" s="141" t="str">
        <f t="shared" si="3"/>
        <v/>
      </c>
      <c r="G7" s="141" t="str">
        <f t="shared" si="4"/>
        <v/>
      </c>
      <c r="H7" s="141" t="str">
        <f t="shared" si="5"/>
        <v/>
      </c>
      <c r="I7" s="141" t="str">
        <f t="shared" si="6"/>
        <v/>
      </c>
      <c r="J7" s="149" t="s">
        <v>53</v>
      </c>
      <c r="K7" s="150">
        <f>SUM(G5:G12)</f>
        <v>0</v>
      </c>
      <c r="L7" s="143"/>
      <c r="M7" s="144"/>
      <c r="N7" s="72"/>
      <c r="O7" s="31"/>
      <c r="P7" s="151"/>
      <c r="Q7" s="151"/>
      <c r="R7" s="152"/>
      <c r="S7" s="147"/>
      <c r="T7" s="32"/>
      <c r="U7" s="99" t="s">
        <v>70</v>
      </c>
      <c r="V7" s="101">
        <v>100.0</v>
      </c>
      <c r="W7" s="103">
        <v>351.0</v>
      </c>
      <c r="X7" s="104">
        <v>8.5</v>
      </c>
      <c r="Y7" s="105">
        <v>77.0</v>
      </c>
      <c r="Z7" s="108">
        <v>0.8</v>
      </c>
      <c r="AA7" s="110">
        <v>0.8</v>
      </c>
      <c r="AB7" s="32"/>
    </row>
    <row r="8" ht="14.25" customHeight="1">
      <c r="A8" s="31"/>
      <c r="B8" s="138"/>
      <c r="C8" s="148"/>
      <c r="D8" s="140"/>
      <c r="E8" s="141" t="str">
        <f t="shared" si="2"/>
        <v/>
      </c>
      <c r="F8" s="141" t="str">
        <f t="shared" si="3"/>
        <v/>
      </c>
      <c r="G8" s="141" t="str">
        <f t="shared" si="4"/>
        <v/>
      </c>
      <c r="H8" s="141" t="str">
        <f t="shared" si="5"/>
        <v/>
      </c>
      <c r="I8" s="141" t="str">
        <f t="shared" si="6"/>
        <v/>
      </c>
      <c r="J8" s="142"/>
      <c r="K8" s="142"/>
      <c r="L8" s="143"/>
      <c r="M8" s="144"/>
      <c r="N8" s="72"/>
      <c r="O8" s="31"/>
      <c r="P8" s="153" t="s">
        <v>51</v>
      </c>
      <c r="Q8" s="154">
        <f>E3</f>
        <v>0</v>
      </c>
      <c r="R8" s="155">
        <f>E47</f>
        <v>0</v>
      </c>
      <c r="S8" s="147"/>
      <c r="T8" s="32"/>
      <c r="U8" s="99" t="s">
        <v>71</v>
      </c>
      <c r="V8" s="101">
        <v>100.0</v>
      </c>
      <c r="W8" s="103">
        <v>358.0</v>
      </c>
      <c r="X8" s="104">
        <v>12.0</v>
      </c>
      <c r="Y8" s="105">
        <v>72.0</v>
      </c>
      <c r="Z8" s="108">
        <v>2.0</v>
      </c>
      <c r="AA8" s="110">
        <v>2.0</v>
      </c>
      <c r="AB8" s="32"/>
    </row>
    <row r="9" ht="14.25" customHeight="1">
      <c r="A9" s="31"/>
      <c r="B9" s="138"/>
      <c r="C9" s="148"/>
      <c r="D9" s="140"/>
      <c r="E9" s="141" t="str">
        <f t="shared" si="2"/>
        <v/>
      </c>
      <c r="F9" s="141" t="str">
        <f t="shared" si="3"/>
        <v/>
      </c>
      <c r="G9" s="141" t="str">
        <f t="shared" si="4"/>
        <v/>
      </c>
      <c r="H9" s="141" t="str">
        <f t="shared" si="5"/>
        <v/>
      </c>
      <c r="I9" s="141" t="str">
        <f t="shared" si="6"/>
        <v/>
      </c>
      <c r="J9" s="149" t="s">
        <v>54</v>
      </c>
      <c r="K9" s="150">
        <f>SUM(H5:H12)</f>
        <v>0</v>
      </c>
      <c r="L9" s="143"/>
      <c r="M9" s="144"/>
      <c r="N9" s="72"/>
      <c r="O9" s="31"/>
      <c r="P9" s="158"/>
      <c r="Q9" s="160"/>
      <c r="R9" s="161"/>
      <c r="S9" s="147"/>
      <c r="T9" s="32"/>
      <c r="U9" s="99" t="s">
        <v>72</v>
      </c>
      <c r="V9" s="101">
        <v>100.0</v>
      </c>
      <c r="W9" s="103">
        <v>368.0</v>
      </c>
      <c r="X9" s="104">
        <v>14.1</v>
      </c>
      <c r="Y9" s="105">
        <v>64.2</v>
      </c>
      <c r="Z9" s="108">
        <v>6.1</v>
      </c>
      <c r="AA9" s="110">
        <v>6.9</v>
      </c>
      <c r="AB9" s="32"/>
    </row>
    <row r="10" ht="14.25" customHeight="1">
      <c r="A10" s="31"/>
      <c r="B10" s="138"/>
      <c r="C10" s="148"/>
      <c r="D10" s="140"/>
      <c r="E10" s="141" t="str">
        <f t="shared" si="2"/>
        <v/>
      </c>
      <c r="F10" s="141" t="str">
        <f t="shared" si="3"/>
        <v/>
      </c>
      <c r="G10" s="141" t="str">
        <f t="shared" si="4"/>
        <v/>
      </c>
      <c r="H10" s="141" t="str">
        <f t="shared" si="5"/>
        <v/>
      </c>
      <c r="I10" s="141" t="str">
        <f t="shared" si="6"/>
        <v/>
      </c>
      <c r="J10" s="142"/>
      <c r="K10" s="142"/>
      <c r="L10" s="143"/>
      <c r="M10" s="144"/>
      <c r="N10" s="72"/>
      <c r="O10" s="31"/>
      <c r="P10" s="168" t="s">
        <v>52</v>
      </c>
      <c r="Q10" s="169">
        <f>F3</f>
        <v>0</v>
      </c>
      <c r="R10" s="170">
        <f>F47</f>
        <v>0</v>
      </c>
      <c r="S10" s="147"/>
      <c r="T10" s="32"/>
      <c r="U10" s="99" t="s">
        <v>73</v>
      </c>
      <c r="V10" s="101">
        <v>100.0</v>
      </c>
      <c r="W10" s="103">
        <v>360.0</v>
      </c>
      <c r="X10" s="104">
        <v>12.7</v>
      </c>
      <c r="Y10" s="105">
        <v>72.8</v>
      </c>
      <c r="Z10" s="108">
        <v>1.1</v>
      </c>
      <c r="AA10" s="110">
        <v>3.9</v>
      </c>
      <c r="AB10" s="32"/>
    </row>
    <row r="11" ht="14.25" customHeight="1">
      <c r="A11" s="31"/>
      <c r="B11" s="138"/>
      <c r="C11" s="148"/>
      <c r="D11" s="140"/>
      <c r="E11" s="141" t="str">
        <f t="shared" si="2"/>
        <v/>
      </c>
      <c r="F11" s="141" t="str">
        <f t="shared" si="3"/>
        <v/>
      </c>
      <c r="G11" s="141" t="str">
        <f t="shared" si="4"/>
        <v/>
      </c>
      <c r="H11" s="141" t="str">
        <f t="shared" si="5"/>
        <v/>
      </c>
      <c r="I11" s="141" t="str">
        <f t="shared" si="6"/>
        <v/>
      </c>
      <c r="J11" s="149" t="s">
        <v>55</v>
      </c>
      <c r="K11" s="150">
        <f>SUM(I5:I12)</f>
        <v>0</v>
      </c>
      <c r="L11" s="143"/>
      <c r="M11" s="144"/>
      <c r="N11" s="72"/>
      <c r="O11" s="31"/>
      <c r="P11" s="158"/>
      <c r="Q11" s="160"/>
      <c r="R11" s="161"/>
      <c r="S11" s="147"/>
      <c r="T11" s="32"/>
      <c r="U11" s="99" t="s">
        <v>74</v>
      </c>
      <c r="V11" s="101">
        <v>100.0</v>
      </c>
      <c r="W11" s="103">
        <v>93.0</v>
      </c>
      <c r="X11" s="104">
        <v>2.5</v>
      </c>
      <c r="Y11" s="105">
        <v>21.2</v>
      </c>
      <c r="Z11" s="108">
        <v>0.1</v>
      </c>
      <c r="AA11" s="110">
        <v>2.2</v>
      </c>
      <c r="AB11" s="32"/>
    </row>
    <row r="12" ht="14.25" customHeight="1">
      <c r="A12" s="31"/>
      <c r="B12" s="171"/>
      <c r="C12" s="172"/>
      <c r="D12" s="173"/>
      <c r="E12" s="174" t="str">
        <f t="shared" si="2"/>
        <v/>
      </c>
      <c r="F12" s="174" t="str">
        <f t="shared" si="3"/>
        <v/>
      </c>
      <c r="G12" s="174" t="str">
        <f t="shared" si="4"/>
        <v/>
      </c>
      <c r="H12" s="174" t="str">
        <f t="shared" si="5"/>
        <v/>
      </c>
      <c r="I12" s="174" t="str">
        <f t="shared" si="6"/>
        <v/>
      </c>
      <c r="J12" s="175"/>
      <c r="K12" s="175"/>
      <c r="L12" s="175"/>
      <c r="M12" s="176"/>
      <c r="N12" s="72"/>
      <c r="O12" s="31"/>
      <c r="P12" s="168" t="s">
        <v>53</v>
      </c>
      <c r="Q12" s="169">
        <f>G3</f>
        <v>0</v>
      </c>
      <c r="R12" s="170">
        <f>G47</f>
        <v>0</v>
      </c>
      <c r="S12" s="147"/>
      <c r="T12" s="32"/>
      <c r="U12" s="99" t="s">
        <v>75</v>
      </c>
      <c r="V12" s="101">
        <v>100.0</v>
      </c>
      <c r="W12" s="103">
        <v>86.0</v>
      </c>
      <c r="X12" s="104">
        <v>1.7</v>
      </c>
      <c r="Y12" s="105">
        <v>20.1</v>
      </c>
      <c r="Z12" s="108">
        <v>0.1</v>
      </c>
      <c r="AA12" s="110">
        <v>1.4</v>
      </c>
      <c r="AB12" s="32"/>
    </row>
    <row r="13" ht="14.25" customHeight="1">
      <c r="A13" s="31"/>
      <c r="B13" s="116" t="s">
        <v>76</v>
      </c>
      <c r="C13" s="177"/>
      <c r="D13" s="123"/>
      <c r="E13" s="128" t="str">
        <f t="shared" si="2"/>
        <v/>
      </c>
      <c r="F13" s="128" t="str">
        <f t="shared" si="3"/>
        <v/>
      </c>
      <c r="G13" s="128" t="str">
        <f t="shared" si="4"/>
        <v/>
      </c>
      <c r="H13" s="128" t="str">
        <f t="shared" si="5"/>
        <v/>
      </c>
      <c r="I13" s="128" t="str">
        <f t="shared" si="6"/>
        <v/>
      </c>
      <c r="J13" s="133" t="s">
        <v>52</v>
      </c>
      <c r="K13" s="134">
        <f>SUM(F13:F20)</f>
        <v>0</v>
      </c>
      <c r="L13" s="134">
        <f>SUM(E13:E20)</f>
        <v>0</v>
      </c>
      <c r="M13" s="136"/>
      <c r="N13" s="72"/>
      <c r="O13" s="31"/>
      <c r="P13" s="158"/>
      <c r="Q13" s="160"/>
      <c r="R13" s="161"/>
      <c r="S13" s="147"/>
      <c r="T13" s="32"/>
      <c r="U13" s="99" t="s">
        <v>77</v>
      </c>
      <c r="V13" s="101">
        <v>100.0</v>
      </c>
      <c r="W13" s="103">
        <v>90.0</v>
      </c>
      <c r="X13" s="104">
        <v>2.0</v>
      </c>
      <c r="Y13" s="105">
        <v>20.7</v>
      </c>
      <c r="Z13" s="108">
        <v>0.2</v>
      </c>
      <c r="AA13" s="110">
        <v>3.3</v>
      </c>
      <c r="AB13" s="32"/>
    </row>
    <row r="14" ht="14.25" customHeight="1">
      <c r="A14" s="31"/>
      <c r="B14" s="138"/>
      <c r="C14" s="148"/>
      <c r="D14" s="140"/>
      <c r="E14" s="141" t="str">
        <f t="shared" si="2"/>
        <v/>
      </c>
      <c r="F14" s="141" t="str">
        <f t="shared" si="3"/>
        <v/>
      </c>
      <c r="G14" s="141" t="str">
        <f t="shared" si="4"/>
        <v/>
      </c>
      <c r="H14" s="141" t="str">
        <f t="shared" si="5"/>
        <v/>
      </c>
      <c r="I14" s="141" t="str">
        <f t="shared" si="6"/>
        <v/>
      </c>
      <c r="J14" s="142"/>
      <c r="K14" s="142"/>
      <c r="L14" s="143"/>
      <c r="M14" s="144"/>
      <c r="N14" s="72"/>
      <c r="O14" s="31"/>
      <c r="P14" s="168" t="s">
        <v>54</v>
      </c>
      <c r="Q14" s="169">
        <f>H3</f>
        <v>0</v>
      </c>
      <c r="R14" s="170">
        <f>H47</f>
        <v>0</v>
      </c>
      <c r="S14" s="147"/>
      <c r="T14" s="32"/>
      <c r="U14" s="99" t="s">
        <v>78</v>
      </c>
      <c r="V14" s="101">
        <v>100.0</v>
      </c>
      <c r="W14" s="103">
        <v>77.0</v>
      </c>
      <c r="X14" s="104">
        <v>1.4</v>
      </c>
      <c r="Y14" s="105">
        <v>17.7</v>
      </c>
      <c r="Z14" s="108">
        <v>0.1</v>
      </c>
      <c r="AA14" s="110">
        <v>2.5</v>
      </c>
      <c r="AB14" s="32"/>
    </row>
    <row r="15" ht="14.25" customHeight="1">
      <c r="A15" s="31"/>
      <c r="B15" s="138"/>
      <c r="C15" s="148"/>
      <c r="D15" s="140"/>
      <c r="E15" s="141" t="str">
        <f t="shared" si="2"/>
        <v/>
      </c>
      <c r="F15" s="141" t="str">
        <f t="shared" si="3"/>
        <v/>
      </c>
      <c r="G15" s="141" t="str">
        <f t="shared" si="4"/>
        <v/>
      </c>
      <c r="H15" s="141" t="str">
        <f t="shared" si="5"/>
        <v/>
      </c>
      <c r="I15" s="141" t="str">
        <f t="shared" si="6"/>
        <v/>
      </c>
      <c r="J15" s="149" t="s">
        <v>53</v>
      </c>
      <c r="K15" s="150">
        <f>SUM(G13:G20)</f>
        <v>0</v>
      </c>
      <c r="L15" s="143"/>
      <c r="M15" s="144"/>
      <c r="N15" s="72"/>
      <c r="O15" s="31"/>
      <c r="P15" s="158"/>
      <c r="Q15" s="160"/>
      <c r="R15" s="161"/>
      <c r="S15" s="147"/>
      <c r="T15" s="32"/>
      <c r="U15" s="99" t="s">
        <v>79</v>
      </c>
      <c r="V15" s="101">
        <v>100.0</v>
      </c>
      <c r="W15" s="103">
        <v>367.0</v>
      </c>
      <c r="X15" s="104">
        <v>13.3</v>
      </c>
      <c r="Y15" s="105">
        <v>57.9</v>
      </c>
      <c r="Z15" s="108">
        <v>6.5</v>
      </c>
      <c r="AA15" s="110">
        <v>10.2</v>
      </c>
      <c r="AB15" s="32"/>
    </row>
    <row r="16" ht="14.25" customHeight="1">
      <c r="A16" s="31"/>
      <c r="B16" s="138"/>
      <c r="C16" s="148"/>
      <c r="D16" s="140"/>
      <c r="E16" s="141" t="str">
        <f t="shared" si="2"/>
        <v/>
      </c>
      <c r="F16" s="141" t="str">
        <f t="shared" si="3"/>
        <v/>
      </c>
      <c r="G16" s="141" t="str">
        <f t="shared" si="4"/>
        <v/>
      </c>
      <c r="H16" s="141" t="str">
        <f t="shared" si="5"/>
        <v/>
      </c>
      <c r="I16" s="141" t="str">
        <f t="shared" si="6"/>
        <v/>
      </c>
      <c r="J16" s="142"/>
      <c r="K16" s="142"/>
      <c r="L16" s="143"/>
      <c r="M16" s="144"/>
      <c r="N16" s="72"/>
      <c r="O16" s="31"/>
      <c r="P16" s="168" t="s">
        <v>55</v>
      </c>
      <c r="Q16" s="169">
        <f>I3</f>
        <v>0</v>
      </c>
      <c r="R16" s="170">
        <f>I47</f>
        <v>0</v>
      </c>
      <c r="S16" s="147"/>
      <c r="T16" s="32"/>
      <c r="U16" s="99" t="s">
        <v>80</v>
      </c>
      <c r="V16" s="101">
        <v>100.0</v>
      </c>
      <c r="W16" s="103">
        <v>391.0</v>
      </c>
      <c r="X16" s="104">
        <v>12.0</v>
      </c>
      <c r="Y16" s="105">
        <v>69.0</v>
      </c>
      <c r="Z16" s="108">
        <v>7.0</v>
      </c>
      <c r="AA16" s="110">
        <v>4.0</v>
      </c>
      <c r="AB16" s="32"/>
    </row>
    <row r="17" ht="14.25" customHeight="1">
      <c r="A17" s="31"/>
      <c r="B17" s="138"/>
      <c r="C17" s="148"/>
      <c r="D17" s="140"/>
      <c r="E17" s="141" t="str">
        <f t="shared" si="2"/>
        <v/>
      </c>
      <c r="F17" s="141" t="str">
        <f t="shared" si="3"/>
        <v/>
      </c>
      <c r="G17" s="141" t="str">
        <f t="shared" si="4"/>
        <v/>
      </c>
      <c r="H17" s="141" t="str">
        <f t="shared" si="5"/>
        <v/>
      </c>
      <c r="I17" s="141" t="str">
        <f t="shared" si="6"/>
        <v/>
      </c>
      <c r="J17" s="149" t="s">
        <v>54</v>
      </c>
      <c r="K17" s="150">
        <f>SUM(H13:H20)</f>
        <v>0</v>
      </c>
      <c r="L17" s="143"/>
      <c r="M17" s="144"/>
      <c r="N17" s="72"/>
      <c r="O17" s="31"/>
      <c r="P17" s="151"/>
      <c r="Q17" s="178"/>
      <c r="R17" s="176"/>
      <c r="S17" s="147"/>
      <c r="T17" s="32"/>
      <c r="U17" s="99" t="s">
        <v>81</v>
      </c>
      <c r="V17" s="101">
        <v>100.0</v>
      </c>
      <c r="W17" s="103">
        <v>343.0</v>
      </c>
      <c r="X17" s="104">
        <v>4.5</v>
      </c>
      <c r="Y17" s="105">
        <v>77.0</v>
      </c>
      <c r="Z17" s="108">
        <v>0.5</v>
      </c>
      <c r="AA17" s="110" t="s">
        <v>82</v>
      </c>
      <c r="AB17" s="32"/>
    </row>
    <row r="18" ht="14.25" customHeight="1">
      <c r="A18" s="31"/>
      <c r="B18" s="138"/>
      <c r="C18" s="148"/>
      <c r="D18" s="140"/>
      <c r="E18" s="141" t="str">
        <f t="shared" si="2"/>
        <v/>
      </c>
      <c r="F18" s="141" t="str">
        <f t="shared" si="3"/>
        <v/>
      </c>
      <c r="G18" s="141" t="str">
        <f t="shared" si="4"/>
        <v/>
      </c>
      <c r="H18" s="141" t="str">
        <f t="shared" si="5"/>
        <v/>
      </c>
      <c r="I18" s="141" t="str">
        <f t="shared" si="6"/>
        <v/>
      </c>
      <c r="J18" s="142"/>
      <c r="K18" s="142"/>
      <c r="L18" s="143"/>
      <c r="M18" s="144"/>
      <c r="N18" s="72"/>
      <c r="O18" s="31"/>
      <c r="P18" s="179"/>
      <c r="Q18" s="179"/>
      <c r="R18" s="179"/>
      <c r="S18" s="32"/>
      <c r="T18" s="32"/>
      <c r="U18" s="99" t="s">
        <v>83</v>
      </c>
      <c r="V18" s="101">
        <v>100.0</v>
      </c>
      <c r="W18" s="103">
        <v>387.0</v>
      </c>
      <c r="X18" s="104">
        <v>6.6</v>
      </c>
      <c r="Y18" s="105">
        <v>89.0</v>
      </c>
      <c r="Z18" s="108">
        <v>0.1</v>
      </c>
      <c r="AA18" s="110">
        <v>0.6</v>
      </c>
      <c r="AB18" s="32"/>
    </row>
    <row r="19" ht="14.25" customHeight="1">
      <c r="A19" s="31"/>
      <c r="B19" s="138"/>
      <c r="C19" s="148"/>
      <c r="D19" s="140"/>
      <c r="E19" s="141" t="str">
        <f t="shared" si="2"/>
        <v/>
      </c>
      <c r="F19" s="141" t="str">
        <f t="shared" si="3"/>
        <v/>
      </c>
      <c r="G19" s="141" t="str">
        <f t="shared" si="4"/>
        <v/>
      </c>
      <c r="H19" s="141" t="str">
        <f t="shared" si="5"/>
        <v/>
      </c>
      <c r="I19" s="141" t="str">
        <f t="shared" si="6"/>
        <v/>
      </c>
      <c r="J19" s="149" t="s">
        <v>55</v>
      </c>
      <c r="K19" s="150">
        <f>SUM(I13:I20)</f>
        <v>0</v>
      </c>
      <c r="L19" s="143"/>
      <c r="M19" s="144"/>
      <c r="N19" s="72"/>
      <c r="O19" s="31"/>
      <c r="P19" s="32"/>
      <c r="Q19" s="32"/>
      <c r="R19" s="32"/>
      <c r="S19" s="32"/>
      <c r="T19" s="32"/>
      <c r="U19" s="99" t="s">
        <v>84</v>
      </c>
      <c r="V19" s="101">
        <v>100.0</v>
      </c>
      <c r="W19" s="103">
        <v>262.0</v>
      </c>
      <c r="X19" s="104">
        <v>8.5</v>
      </c>
      <c r="Y19" s="105">
        <v>43.7</v>
      </c>
      <c r="Z19" s="108">
        <v>4.1</v>
      </c>
      <c r="AA19" s="110">
        <v>6.2</v>
      </c>
      <c r="AB19" s="32"/>
    </row>
    <row r="20" ht="14.25" customHeight="1">
      <c r="A20" s="31"/>
      <c r="B20" s="171"/>
      <c r="C20" s="172"/>
      <c r="D20" s="173"/>
      <c r="E20" s="174" t="str">
        <f t="shared" si="2"/>
        <v/>
      </c>
      <c r="F20" s="174" t="str">
        <f t="shared" si="3"/>
        <v/>
      </c>
      <c r="G20" s="174" t="str">
        <f t="shared" si="4"/>
        <v/>
      </c>
      <c r="H20" s="174" t="str">
        <f t="shared" si="5"/>
        <v/>
      </c>
      <c r="I20" s="174" t="str">
        <f t="shared" si="6"/>
        <v/>
      </c>
      <c r="J20" s="175"/>
      <c r="K20" s="175"/>
      <c r="L20" s="175"/>
      <c r="M20" s="176"/>
      <c r="N20" s="72"/>
      <c r="O20" s="31"/>
      <c r="P20" s="180" t="s">
        <v>85</v>
      </c>
      <c r="Q20" s="181"/>
      <c r="R20" s="32"/>
      <c r="S20" s="32"/>
      <c r="T20" s="32"/>
      <c r="U20" s="99" t="s">
        <v>86</v>
      </c>
      <c r="V20" s="101">
        <v>100.0</v>
      </c>
      <c r="W20" s="103">
        <v>388.0</v>
      </c>
      <c r="X20" s="104">
        <v>8.4</v>
      </c>
      <c r="Y20" s="105">
        <v>85.0</v>
      </c>
      <c r="Z20" s="108">
        <v>1.2</v>
      </c>
      <c r="AA20" s="110">
        <v>1.8</v>
      </c>
      <c r="AB20" s="32"/>
    </row>
    <row r="21" ht="14.25" customHeight="1">
      <c r="A21" s="31"/>
      <c r="B21" s="116" t="s">
        <v>87</v>
      </c>
      <c r="C21" s="177"/>
      <c r="D21" s="123"/>
      <c r="E21" s="128" t="str">
        <f t="shared" si="2"/>
        <v/>
      </c>
      <c r="F21" s="128" t="str">
        <f t="shared" si="3"/>
        <v/>
      </c>
      <c r="G21" s="128" t="str">
        <f t="shared" si="4"/>
        <v/>
      </c>
      <c r="H21" s="128" t="str">
        <f t="shared" si="5"/>
        <v/>
      </c>
      <c r="I21" s="128" t="str">
        <f t="shared" si="6"/>
        <v/>
      </c>
      <c r="J21" s="133" t="s">
        <v>52</v>
      </c>
      <c r="K21" s="134">
        <f>SUM(F21:F28)</f>
        <v>0</v>
      </c>
      <c r="L21" s="134">
        <f>SUM(E21:E28)</f>
        <v>0</v>
      </c>
      <c r="M21" s="136"/>
      <c r="N21" s="72"/>
      <c r="O21" s="31"/>
      <c r="P21" s="182"/>
      <c r="Q21" s="183"/>
      <c r="R21" s="32"/>
      <c r="S21" s="32"/>
      <c r="T21" s="32"/>
      <c r="U21" s="99" t="s">
        <v>88</v>
      </c>
      <c r="V21" s="101">
        <v>100.0</v>
      </c>
      <c r="W21" s="103">
        <v>386.0</v>
      </c>
      <c r="X21" s="104">
        <v>10.0</v>
      </c>
      <c r="Y21" s="105">
        <v>70.0</v>
      </c>
      <c r="Z21" s="108">
        <v>5.1</v>
      </c>
      <c r="AA21" s="110">
        <v>10.0</v>
      </c>
      <c r="AB21" s="32"/>
    </row>
    <row r="22" ht="14.25" customHeight="1">
      <c r="A22" s="31"/>
      <c r="B22" s="138"/>
      <c r="C22" s="148"/>
      <c r="D22" s="140"/>
      <c r="E22" s="141" t="str">
        <f t="shared" si="2"/>
        <v/>
      </c>
      <c r="F22" s="141" t="str">
        <f t="shared" si="3"/>
        <v/>
      </c>
      <c r="G22" s="141" t="str">
        <f t="shared" si="4"/>
        <v/>
      </c>
      <c r="H22" s="141" t="str">
        <f t="shared" si="5"/>
        <v/>
      </c>
      <c r="I22" s="141" t="str">
        <f t="shared" si="6"/>
        <v/>
      </c>
      <c r="J22" s="142"/>
      <c r="K22" s="142"/>
      <c r="L22" s="143"/>
      <c r="M22" s="144"/>
      <c r="N22" s="72"/>
      <c r="O22" s="31"/>
      <c r="P22" s="184" t="s">
        <v>51</v>
      </c>
      <c r="Q22" s="185"/>
      <c r="R22" s="32"/>
      <c r="S22" s="32"/>
      <c r="T22" s="32"/>
      <c r="U22" s="99" t="s">
        <v>89</v>
      </c>
      <c r="V22" s="101">
        <v>100.0</v>
      </c>
      <c r="W22" s="103">
        <v>366.0</v>
      </c>
      <c r="X22" s="104">
        <v>11.0</v>
      </c>
      <c r="Y22" s="105">
        <v>62.0</v>
      </c>
      <c r="Z22" s="108">
        <v>6.0</v>
      </c>
      <c r="AA22" s="110">
        <v>9.5</v>
      </c>
      <c r="AB22" s="32"/>
    </row>
    <row r="23" ht="14.25" customHeight="1">
      <c r="A23" s="31"/>
      <c r="B23" s="138"/>
      <c r="C23" s="148"/>
      <c r="D23" s="140"/>
      <c r="E23" s="141" t="str">
        <f t="shared" si="2"/>
        <v/>
      </c>
      <c r="F23" s="141" t="str">
        <f t="shared" si="3"/>
        <v/>
      </c>
      <c r="G23" s="141" t="str">
        <f t="shared" si="4"/>
        <v/>
      </c>
      <c r="H23" s="141" t="str">
        <f t="shared" si="5"/>
        <v/>
      </c>
      <c r="I23" s="141" t="str">
        <f t="shared" si="6"/>
        <v/>
      </c>
      <c r="J23" s="149" t="s">
        <v>53</v>
      </c>
      <c r="K23" s="150">
        <f>SUM(G21:G28)</f>
        <v>0</v>
      </c>
      <c r="L23" s="143"/>
      <c r="M23" s="144"/>
      <c r="N23" s="72"/>
      <c r="O23" s="31"/>
      <c r="P23" s="186"/>
      <c r="Q23" s="187"/>
      <c r="R23" s="32"/>
      <c r="S23" s="32"/>
      <c r="T23" s="32"/>
      <c r="U23" s="188" t="s">
        <v>90</v>
      </c>
      <c r="V23" s="101">
        <v>100.0</v>
      </c>
      <c r="W23" s="103">
        <v>88.0</v>
      </c>
      <c r="X23" s="104">
        <v>1.1</v>
      </c>
      <c r="Y23" s="105">
        <v>22.8</v>
      </c>
      <c r="Z23" s="108">
        <v>0.3</v>
      </c>
      <c r="AA23" s="110">
        <v>1.7</v>
      </c>
      <c r="AB23" s="32"/>
    </row>
    <row r="24" ht="14.25" customHeight="1">
      <c r="A24" s="31"/>
      <c r="B24" s="138"/>
      <c r="C24" s="148"/>
      <c r="D24" s="140"/>
      <c r="E24" s="141" t="str">
        <f t="shared" si="2"/>
        <v/>
      </c>
      <c r="F24" s="141" t="str">
        <f t="shared" si="3"/>
        <v/>
      </c>
      <c r="G24" s="141" t="str">
        <f t="shared" si="4"/>
        <v/>
      </c>
      <c r="H24" s="141" t="str">
        <f t="shared" si="5"/>
        <v/>
      </c>
      <c r="I24" s="141" t="str">
        <f t="shared" si="6"/>
        <v/>
      </c>
      <c r="J24" s="142"/>
      <c r="K24" s="142"/>
      <c r="L24" s="143"/>
      <c r="M24" s="144"/>
      <c r="N24" s="72"/>
      <c r="O24" s="31"/>
      <c r="P24" s="189" t="s">
        <v>52</v>
      </c>
      <c r="Q24" s="190"/>
      <c r="R24" s="32"/>
      <c r="S24" s="32"/>
      <c r="T24" s="32"/>
      <c r="U24" s="188" t="s">
        <v>91</v>
      </c>
      <c r="V24" s="101">
        <v>100.0</v>
      </c>
      <c r="W24" s="103">
        <v>57.0</v>
      </c>
      <c r="X24" s="104">
        <v>0.2</v>
      </c>
      <c r="Y24" s="105">
        <v>13.7</v>
      </c>
      <c r="Z24" s="108">
        <v>0.1</v>
      </c>
      <c r="AA24" s="110">
        <v>2.3</v>
      </c>
      <c r="AB24" s="32"/>
    </row>
    <row r="25" ht="14.25" customHeight="1">
      <c r="A25" s="31"/>
      <c r="B25" s="138"/>
      <c r="C25" s="148"/>
      <c r="D25" s="140"/>
      <c r="E25" s="141" t="str">
        <f t="shared" si="2"/>
        <v/>
      </c>
      <c r="F25" s="141" t="str">
        <f t="shared" si="3"/>
        <v/>
      </c>
      <c r="G25" s="141" t="str">
        <f t="shared" si="4"/>
        <v/>
      </c>
      <c r="H25" s="141" t="str">
        <f t="shared" si="5"/>
        <v/>
      </c>
      <c r="I25" s="141" t="str">
        <f t="shared" si="6"/>
        <v/>
      </c>
      <c r="J25" s="149" t="s">
        <v>54</v>
      </c>
      <c r="K25" s="150">
        <f>SUM(H21:H28)</f>
        <v>0</v>
      </c>
      <c r="L25" s="143"/>
      <c r="M25" s="144"/>
      <c r="N25" s="72"/>
      <c r="O25" s="31"/>
      <c r="P25" s="186"/>
      <c r="Q25" s="187"/>
      <c r="R25" s="32"/>
      <c r="S25" s="32"/>
      <c r="T25" s="32"/>
      <c r="U25" s="188" t="s">
        <v>92</v>
      </c>
      <c r="V25" s="101">
        <v>100.0</v>
      </c>
      <c r="W25" s="103">
        <v>60.0</v>
      </c>
      <c r="X25" s="104">
        <v>1.2</v>
      </c>
      <c r="Y25" s="105">
        <v>14.2</v>
      </c>
      <c r="Z25" s="108">
        <v>0.6</v>
      </c>
      <c r="AA25" s="110">
        <v>2.0</v>
      </c>
      <c r="AB25" s="32"/>
    </row>
    <row r="26" ht="14.25" customHeight="1">
      <c r="A26" s="31"/>
      <c r="B26" s="138"/>
      <c r="C26" s="148"/>
      <c r="D26" s="140"/>
      <c r="E26" s="141" t="str">
        <f t="shared" si="2"/>
        <v/>
      </c>
      <c r="F26" s="141" t="str">
        <f t="shared" si="3"/>
        <v/>
      </c>
      <c r="G26" s="141" t="str">
        <f t="shared" si="4"/>
        <v/>
      </c>
      <c r="H26" s="141" t="str">
        <f t="shared" si="5"/>
        <v/>
      </c>
      <c r="I26" s="141" t="str">
        <f t="shared" si="6"/>
        <v/>
      </c>
      <c r="J26" s="142"/>
      <c r="K26" s="142"/>
      <c r="L26" s="143"/>
      <c r="M26" s="144"/>
      <c r="N26" s="72"/>
      <c r="O26" s="31"/>
      <c r="P26" s="189" t="s">
        <v>53</v>
      </c>
      <c r="Q26" s="190"/>
      <c r="R26" s="32"/>
      <c r="S26" s="32"/>
      <c r="T26" s="32"/>
      <c r="U26" s="188" t="s">
        <v>93</v>
      </c>
      <c r="V26" s="101">
        <v>100.0</v>
      </c>
      <c r="W26" s="103">
        <v>61.0</v>
      </c>
      <c r="X26" s="104">
        <v>1.1</v>
      </c>
      <c r="Y26" s="105">
        <v>14.7</v>
      </c>
      <c r="Z26" s="108">
        <v>0.5</v>
      </c>
      <c r="AA26" s="110">
        <v>3.0</v>
      </c>
      <c r="AB26" s="32"/>
    </row>
    <row r="27" ht="14.25" customHeight="1">
      <c r="A27" s="31"/>
      <c r="B27" s="138"/>
      <c r="C27" s="148"/>
      <c r="D27" s="140"/>
      <c r="E27" s="141" t="str">
        <f t="shared" si="2"/>
        <v/>
      </c>
      <c r="F27" s="141" t="str">
        <f t="shared" si="3"/>
        <v/>
      </c>
      <c r="G27" s="141" t="str">
        <f t="shared" si="4"/>
        <v/>
      </c>
      <c r="H27" s="141" t="str">
        <f t="shared" si="5"/>
        <v/>
      </c>
      <c r="I27" s="141" t="str">
        <f t="shared" si="6"/>
        <v/>
      </c>
      <c r="J27" s="149" t="s">
        <v>55</v>
      </c>
      <c r="K27" s="150">
        <f>SUM(I21:I28)</f>
        <v>0</v>
      </c>
      <c r="L27" s="143"/>
      <c r="M27" s="144"/>
      <c r="N27" s="72"/>
      <c r="O27" s="31"/>
      <c r="P27" s="186"/>
      <c r="Q27" s="187"/>
      <c r="R27" s="32"/>
      <c r="S27" s="32"/>
      <c r="T27" s="32"/>
      <c r="U27" s="188" t="s">
        <v>94</v>
      </c>
      <c r="V27" s="101">
        <v>100.0</v>
      </c>
      <c r="W27" s="103">
        <v>32.0</v>
      </c>
      <c r="X27" s="104">
        <v>0.7</v>
      </c>
      <c r="Y27" s="105">
        <v>7.7</v>
      </c>
      <c r="Z27" s="108">
        <v>0.3</v>
      </c>
      <c r="AA27" s="110">
        <v>2.0</v>
      </c>
      <c r="AB27" s="32"/>
    </row>
    <row r="28" ht="14.25" customHeight="1">
      <c r="A28" s="31"/>
      <c r="B28" s="171"/>
      <c r="C28" s="172"/>
      <c r="D28" s="173"/>
      <c r="E28" s="174" t="str">
        <f t="shared" si="2"/>
        <v/>
      </c>
      <c r="F28" s="174" t="str">
        <f t="shared" si="3"/>
        <v/>
      </c>
      <c r="G28" s="174" t="str">
        <f t="shared" si="4"/>
        <v/>
      </c>
      <c r="H28" s="174" t="str">
        <f t="shared" si="5"/>
        <v/>
      </c>
      <c r="I28" s="174" t="str">
        <f t="shared" si="6"/>
        <v/>
      </c>
      <c r="J28" s="175"/>
      <c r="K28" s="175"/>
      <c r="L28" s="175"/>
      <c r="M28" s="176"/>
      <c r="N28" s="72"/>
      <c r="O28" s="31"/>
      <c r="P28" s="189" t="s">
        <v>54</v>
      </c>
      <c r="Q28" s="190"/>
      <c r="R28" s="32"/>
      <c r="S28" s="32"/>
      <c r="T28" s="32"/>
      <c r="U28" s="188" t="s">
        <v>95</v>
      </c>
      <c r="V28" s="101">
        <v>100.0</v>
      </c>
      <c r="W28" s="103">
        <v>57.0</v>
      </c>
      <c r="X28" s="104">
        <v>0.7</v>
      </c>
      <c r="Y28" s="105">
        <v>14.5</v>
      </c>
      <c r="Z28" s="108">
        <v>0.3</v>
      </c>
      <c r="AA28" s="110">
        <v>2.4</v>
      </c>
      <c r="AB28" s="32"/>
    </row>
    <row r="29" ht="14.25" customHeight="1">
      <c r="A29" s="31"/>
      <c r="B29" s="116" t="s">
        <v>96</v>
      </c>
      <c r="C29" s="177"/>
      <c r="D29" s="123"/>
      <c r="E29" s="128" t="str">
        <f t="shared" si="2"/>
        <v/>
      </c>
      <c r="F29" s="128" t="str">
        <f t="shared" si="3"/>
        <v/>
      </c>
      <c r="G29" s="128" t="str">
        <f t="shared" si="4"/>
        <v/>
      </c>
      <c r="H29" s="128" t="str">
        <f t="shared" si="5"/>
        <v/>
      </c>
      <c r="I29" s="128" t="str">
        <f t="shared" si="6"/>
        <v/>
      </c>
      <c r="J29" s="133" t="s">
        <v>52</v>
      </c>
      <c r="K29" s="134">
        <f>SUM(F29:F36)</f>
        <v>0</v>
      </c>
      <c r="L29" s="134">
        <f>SUM(E29:E36)</f>
        <v>0</v>
      </c>
      <c r="M29" s="136"/>
      <c r="N29" s="72"/>
      <c r="O29" s="31"/>
      <c r="P29" s="186"/>
      <c r="Q29" s="187"/>
      <c r="R29" s="32"/>
      <c r="S29" s="32"/>
      <c r="T29" s="32"/>
      <c r="U29" s="188" t="s">
        <v>97</v>
      </c>
      <c r="V29" s="101">
        <v>100.0</v>
      </c>
      <c r="W29" s="103">
        <v>52.0</v>
      </c>
      <c r="X29" s="104">
        <v>1.2</v>
      </c>
      <c r="Y29" s="105">
        <v>11.9</v>
      </c>
      <c r="Z29" s="108">
        <v>0.6</v>
      </c>
      <c r="AA29" s="110">
        <v>6.5</v>
      </c>
      <c r="AB29" s="32"/>
    </row>
    <row r="30" ht="14.25" customHeight="1">
      <c r="A30" s="31"/>
      <c r="B30" s="138"/>
      <c r="C30" s="148"/>
      <c r="D30" s="140"/>
      <c r="E30" s="141" t="str">
        <f t="shared" si="2"/>
        <v/>
      </c>
      <c r="F30" s="141" t="str">
        <f t="shared" si="3"/>
        <v/>
      </c>
      <c r="G30" s="141" t="str">
        <f t="shared" si="4"/>
        <v/>
      </c>
      <c r="H30" s="141" t="str">
        <f t="shared" si="5"/>
        <v/>
      </c>
      <c r="I30" s="141" t="str">
        <f t="shared" si="6"/>
        <v/>
      </c>
      <c r="J30" s="142"/>
      <c r="K30" s="142"/>
      <c r="L30" s="143"/>
      <c r="M30" s="144"/>
      <c r="N30" s="72"/>
      <c r="O30" s="31"/>
      <c r="P30" s="189" t="s">
        <v>55</v>
      </c>
      <c r="Q30" s="190"/>
      <c r="R30" s="32"/>
      <c r="S30" s="32"/>
      <c r="T30" s="32"/>
      <c r="U30" s="188" t="s">
        <v>98</v>
      </c>
      <c r="V30" s="101">
        <v>100.0</v>
      </c>
      <c r="W30" s="103">
        <v>48.0</v>
      </c>
      <c r="X30" s="104">
        <v>1.4</v>
      </c>
      <c r="Y30" s="105">
        <v>11.0</v>
      </c>
      <c r="Z30" s="108">
        <v>0.4</v>
      </c>
      <c r="AA30" s="110">
        <v>2.0</v>
      </c>
      <c r="AB30" s="32"/>
    </row>
    <row r="31" ht="14.25" customHeight="1">
      <c r="A31" s="31"/>
      <c r="B31" s="138"/>
      <c r="C31" s="148"/>
      <c r="D31" s="140"/>
      <c r="E31" s="141" t="str">
        <f t="shared" si="2"/>
        <v/>
      </c>
      <c r="F31" s="141" t="str">
        <f t="shared" si="3"/>
        <v/>
      </c>
      <c r="G31" s="141" t="str">
        <f t="shared" si="4"/>
        <v/>
      </c>
      <c r="H31" s="141" t="str">
        <f t="shared" si="5"/>
        <v/>
      </c>
      <c r="I31" s="141" t="str">
        <f t="shared" si="6"/>
        <v/>
      </c>
      <c r="J31" s="149" t="s">
        <v>53</v>
      </c>
      <c r="K31" s="150">
        <f>SUM(G29:G36)</f>
        <v>0</v>
      </c>
      <c r="L31" s="143"/>
      <c r="M31" s="144"/>
      <c r="N31" s="72"/>
      <c r="O31" s="31"/>
      <c r="P31" s="191"/>
      <c r="Q31" s="183"/>
      <c r="R31" s="32"/>
      <c r="S31" s="32"/>
      <c r="T31" s="32"/>
      <c r="U31" s="188" t="s">
        <v>99</v>
      </c>
      <c r="V31" s="101">
        <v>100.0</v>
      </c>
      <c r="W31" s="103">
        <v>48.0</v>
      </c>
      <c r="X31" s="104">
        <v>0.5</v>
      </c>
      <c r="Y31" s="105">
        <v>12.6</v>
      </c>
      <c r="Z31" s="108">
        <v>0.1</v>
      </c>
      <c r="AA31" s="110">
        <v>1.4</v>
      </c>
      <c r="AB31" s="32"/>
    </row>
    <row r="32" ht="14.25" customHeight="1">
      <c r="A32" s="31"/>
      <c r="B32" s="138"/>
      <c r="C32" s="148"/>
      <c r="D32" s="140"/>
      <c r="E32" s="141" t="str">
        <f t="shared" si="2"/>
        <v/>
      </c>
      <c r="F32" s="141" t="str">
        <f t="shared" si="3"/>
        <v/>
      </c>
      <c r="G32" s="141" t="str">
        <f t="shared" si="4"/>
        <v/>
      </c>
      <c r="H32" s="141" t="str">
        <f t="shared" si="5"/>
        <v/>
      </c>
      <c r="I32" s="141" t="str">
        <f t="shared" si="6"/>
        <v/>
      </c>
      <c r="J32" s="142"/>
      <c r="K32" s="142"/>
      <c r="L32" s="143"/>
      <c r="M32" s="144"/>
      <c r="N32" s="72"/>
      <c r="O32" s="31"/>
      <c r="P32" s="32"/>
      <c r="Q32" s="32"/>
      <c r="R32" s="32"/>
      <c r="S32" s="32"/>
      <c r="T32" s="32"/>
      <c r="U32" s="188" t="s">
        <v>100</v>
      </c>
      <c r="V32" s="101">
        <v>100.0</v>
      </c>
      <c r="W32" s="103">
        <v>65.0</v>
      </c>
      <c r="X32" s="104">
        <v>0.5</v>
      </c>
      <c r="Y32" s="105">
        <v>17.0</v>
      </c>
      <c r="Z32" s="108">
        <v>0.3</v>
      </c>
      <c r="AA32" s="110">
        <v>1.8</v>
      </c>
      <c r="AB32" s="32"/>
    </row>
    <row r="33" ht="14.25" customHeight="1">
      <c r="A33" s="31"/>
      <c r="B33" s="138"/>
      <c r="C33" s="148"/>
      <c r="D33" s="140"/>
      <c r="E33" s="141" t="str">
        <f t="shared" si="2"/>
        <v/>
      </c>
      <c r="F33" s="141" t="str">
        <f t="shared" si="3"/>
        <v/>
      </c>
      <c r="G33" s="141" t="str">
        <f t="shared" si="4"/>
        <v/>
      </c>
      <c r="H33" s="141" t="str">
        <f t="shared" si="5"/>
        <v/>
      </c>
      <c r="I33" s="141" t="str">
        <f t="shared" si="6"/>
        <v/>
      </c>
      <c r="J33" s="149" t="s">
        <v>54</v>
      </c>
      <c r="K33" s="150">
        <f>SUM(H29:H36)</f>
        <v>0</v>
      </c>
      <c r="L33" s="143"/>
      <c r="M33" s="144"/>
      <c r="N33" s="72"/>
      <c r="O33" s="31"/>
      <c r="P33" s="32"/>
      <c r="Q33" s="32"/>
      <c r="R33" s="32"/>
      <c r="S33" s="32"/>
      <c r="T33" s="32"/>
      <c r="U33" s="188" t="s">
        <v>101</v>
      </c>
      <c r="V33" s="101">
        <v>100.0</v>
      </c>
      <c r="W33" s="103">
        <v>44.0</v>
      </c>
      <c r="X33" s="104">
        <v>1.0</v>
      </c>
      <c r="Y33" s="105">
        <v>10.5</v>
      </c>
      <c r="Z33" s="108">
        <v>0.3</v>
      </c>
      <c r="AA33" s="110">
        <v>1.7</v>
      </c>
      <c r="AB33" s="32"/>
    </row>
    <row r="34" ht="14.25" customHeight="1">
      <c r="A34" s="31"/>
      <c r="B34" s="138"/>
      <c r="C34" s="148"/>
      <c r="D34" s="140"/>
      <c r="E34" s="141" t="str">
        <f t="shared" si="2"/>
        <v/>
      </c>
      <c r="F34" s="141" t="str">
        <f t="shared" si="3"/>
        <v/>
      </c>
      <c r="G34" s="141" t="str">
        <f t="shared" si="4"/>
        <v/>
      </c>
      <c r="H34" s="141" t="str">
        <f t="shared" si="5"/>
        <v/>
      </c>
      <c r="I34" s="141" t="str">
        <f t="shared" si="6"/>
        <v/>
      </c>
      <c r="J34" s="142"/>
      <c r="K34" s="142"/>
      <c r="L34" s="143"/>
      <c r="M34" s="144"/>
      <c r="N34" s="72"/>
      <c r="O34" s="31"/>
      <c r="P34" s="32"/>
      <c r="Q34" s="32"/>
      <c r="R34" s="32"/>
      <c r="S34" s="32"/>
      <c r="T34" s="32"/>
      <c r="U34" s="188" t="s">
        <v>102</v>
      </c>
      <c r="V34" s="101">
        <v>100.0</v>
      </c>
      <c r="W34" s="103">
        <v>69.0</v>
      </c>
      <c r="X34" s="104">
        <v>0.7</v>
      </c>
      <c r="Y34" s="105">
        <v>18.1</v>
      </c>
      <c r="Z34" s="108">
        <v>0.2</v>
      </c>
      <c r="AA34" s="110">
        <v>0.9</v>
      </c>
      <c r="AB34" s="32"/>
    </row>
    <row r="35" ht="14.25" customHeight="1">
      <c r="A35" s="31"/>
      <c r="B35" s="138"/>
      <c r="C35" s="148"/>
      <c r="D35" s="140"/>
      <c r="E35" s="141" t="str">
        <f t="shared" si="2"/>
        <v/>
      </c>
      <c r="F35" s="141" t="str">
        <f t="shared" si="3"/>
        <v/>
      </c>
      <c r="G35" s="141" t="str">
        <f t="shared" si="4"/>
        <v/>
      </c>
      <c r="H35" s="141" t="str">
        <f t="shared" si="5"/>
        <v/>
      </c>
      <c r="I35" s="141" t="str">
        <f t="shared" si="6"/>
        <v/>
      </c>
      <c r="J35" s="149" t="s">
        <v>55</v>
      </c>
      <c r="K35" s="150">
        <f>SUM(I29:I36)</f>
        <v>0</v>
      </c>
      <c r="L35" s="143"/>
      <c r="M35" s="144"/>
      <c r="N35" s="72"/>
      <c r="O35" s="31"/>
      <c r="P35" s="32"/>
      <c r="Q35" s="32"/>
      <c r="R35" s="32"/>
      <c r="S35" s="32"/>
      <c r="T35" s="32"/>
      <c r="U35" s="188" t="s">
        <v>103</v>
      </c>
      <c r="V35" s="101">
        <v>100.0</v>
      </c>
      <c r="W35" s="103">
        <v>26.0</v>
      </c>
      <c r="X35" s="104">
        <v>1.0</v>
      </c>
      <c r="Y35" s="105">
        <v>6.0</v>
      </c>
      <c r="Z35" s="108">
        <v>0.3</v>
      </c>
      <c r="AA35" s="110">
        <v>2.0</v>
      </c>
      <c r="AB35" s="32"/>
    </row>
    <row r="36" ht="14.25" customHeight="1">
      <c r="A36" s="31"/>
      <c r="B36" s="171"/>
      <c r="C36" s="172"/>
      <c r="D36" s="173"/>
      <c r="E36" s="174" t="str">
        <f t="shared" si="2"/>
        <v/>
      </c>
      <c r="F36" s="174" t="str">
        <f t="shared" si="3"/>
        <v/>
      </c>
      <c r="G36" s="174" t="str">
        <f t="shared" si="4"/>
        <v/>
      </c>
      <c r="H36" s="174" t="str">
        <f t="shared" si="5"/>
        <v/>
      </c>
      <c r="I36" s="174" t="str">
        <f t="shared" si="6"/>
        <v/>
      </c>
      <c r="J36" s="175"/>
      <c r="K36" s="175"/>
      <c r="L36" s="175"/>
      <c r="M36" s="176"/>
      <c r="N36" s="72"/>
      <c r="O36" s="31"/>
      <c r="P36" s="32"/>
      <c r="Q36" s="32"/>
      <c r="R36" s="32"/>
      <c r="S36" s="32"/>
      <c r="T36" s="32"/>
      <c r="U36" s="188" t="s">
        <v>104</v>
      </c>
      <c r="V36" s="101">
        <v>100.0</v>
      </c>
      <c r="W36" s="103">
        <v>31.0</v>
      </c>
      <c r="X36" s="104">
        <v>1.8</v>
      </c>
      <c r="Y36" s="105">
        <v>7.1</v>
      </c>
      <c r="Z36" s="108">
        <v>0.1</v>
      </c>
      <c r="AA36" s="110">
        <v>3.4</v>
      </c>
      <c r="AB36" s="32"/>
    </row>
    <row r="37" ht="14.25" customHeight="1">
      <c r="A37" s="31"/>
      <c r="B37" s="116" t="s">
        <v>105</v>
      </c>
      <c r="C37" s="177"/>
      <c r="D37" s="123"/>
      <c r="E37" s="128" t="str">
        <f t="shared" si="2"/>
        <v/>
      </c>
      <c r="F37" s="128" t="str">
        <f t="shared" si="3"/>
        <v/>
      </c>
      <c r="G37" s="128" t="str">
        <f t="shared" si="4"/>
        <v/>
      </c>
      <c r="H37" s="128" t="str">
        <f t="shared" si="5"/>
        <v/>
      </c>
      <c r="I37" s="128" t="str">
        <f t="shared" si="6"/>
        <v/>
      </c>
      <c r="J37" s="133" t="s">
        <v>52</v>
      </c>
      <c r="K37" s="134">
        <f>SUM(F37:F44)</f>
        <v>0</v>
      </c>
      <c r="L37" s="134">
        <f>SUM(E37:E44)</f>
        <v>0</v>
      </c>
      <c r="M37" s="136"/>
      <c r="N37" s="72"/>
      <c r="O37" s="31"/>
      <c r="P37" s="32"/>
      <c r="Q37" s="32"/>
      <c r="R37" s="32"/>
      <c r="S37" s="32"/>
      <c r="T37" s="32"/>
      <c r="U37" s="188" t="s">
        <v>106</v>
      </c>
      <c r="V37" s="101">
        <v>100.0</v>
      </c>
      <c r="W37" s="103">
        <v>18.0</v>
      </c>
      <c r="X37" s="104">
        <v>0.9</v>
      </c>
      <c r="Y37" s="105">
        <v>4.0</v>
      </c>
      <c r="Z37" s="108">
        <v>0.2</v>
      </c>
      <c r="AA37" s="110">
        <v>1.2</v>
      </c>
      <c r="AB37" s="32"/>
    </row>
    <row r="38" ht="14.25" customHeight="1">
      <c r="A38" s="31"/>
      <c r="B38" s="138"/>
      <c r="C38" s="148"/>
      <c r="D38" s="140"/>
      <c r="E38" s="141" t="str">
        <f t="shared" si="2"/>
        <v/>
      </c>
      <c r="F38" s="141" t="str">
        <f t="shared" si="3"/>
        <v/>
      </c>
      <c r="G38" s="141" t="str">
        <f t="shared" si="4"/>
        <v/>
      </c>
      <c r="H38" s="141" t="str">
        <f t="shared" si="5"/>
        <v/>
      </c>
      <c r="I38" s="141" t="str">
        <f t="shared" si="6"/>
        <v/>
      </c>
      <c r="J38" s="142"/>
      <c r="K38" s="142"/>
      <c r="L38" s="143"/>
      <c r="M38" s="144"/>
      <c r="N38" s="72"/>
      <c r="O38" s="31"/>
      <c r="P38" s="32"/>
      <c r="Q38" s="32"/>
      <c r="R38" s="32"/>
      <c r="S38" s="32"/>
      <c r="T38" s="32"/>
      <c r="U38" s="188" t="s">
        <v>107</v>
      </c>
      <c r="V38" s="101">
        <v>100.0</v>
      </c>
      <c r="W38" s="103">
        <v>42.0</v>
      </c>
      <c r="X38" s="104">
        <v>1.0</v>
      </c>
      <c r="Y38" s="105">
        <v>10.0</v>
      </c>
      <c r="Z38" s="108">
        <v>0.0</v>
      </c>
      <c r="AA38" s="110">
        <v>1.4</v>
      </c>
      <c r="AB38" s="32"/>
    </row>
    <row r="39" ht="14.25" customHeight="1">
      <c r="A39" s="31"/>
      <c r="B39" s="138"/>
      <c r="C39" s="148"/>
      <c r="D39" s="140"/>
      <c r="E39" s="141" t="str">
        <f t="shared" si="2"/>
        <v/>
      </c>
      <c r="F39" s="141" t="str">
        <f t="shared" si="3"/>
        <v/>
      </c>
      <c r="G39" s="141" t="str">
        <f t="shared" si="4"/>
        <v/>
      </c>
      <c r="H39" s="141" t="str">
        <f t="shared" si="5"/>
        <v/>
      </c>
      <c r="I39" s="141" t="str">
        <f t="shared" si="6"/>
        <v/>
      </c>
      <c r="J39" s="149" t="s">
        <v>53</v>
      </c>
      <c r="K39" s="150">
        <f>SUM(G37:G44)</f>
        <v>0</v>
      </c>
      <c r="L39" s="143"/>
      <c r="M39" s="144"/>
      <c r="N39" s="72"/>
      <c r="O39" s="31"/>
      <c r="P39" s="32"/>
      <c r="Q39" s="32"/>
      <c r="R39" s="32"/>
      <c r="S39" s="32"/>
      <c r="T39" s="32"/>
      <c r="U39" s="188" t="s">
        <v>108</v>
      </c>
      <c r="V39" s="101">
        <v>100.0</v>
      </c>
      <c r="W39" s="103">
        <v>22.0</v>
      </c>
      <c r="X39" s="104">
        <v>3.1</v>
      </c>
      <c r="Y39" s="105">
        <v>3.3</v>
      </c>
      <c r="Z39" s="108">
        <v>0.3</v>
      </c>
      <c r="AA39" s="110">
        <v>1.0</v>
      </c>
      <c r="AB39" s="32"/>
    </row>
    <row r="40" ht="14.25" customHeight="1">
      <c r="A40" s="31"/>
      <c r="B40" s="138"/>
      <c r="C40" s="148"/>
      <c r="D40" s="140"/>
      <c r="E40" s="141" t="str">
        <f t="shared" si="2"/>
        <v/>
      </c>
      <c r="F40" s="141" t="str">
        <f t="shared" si="3"/>
        <v/>
      </c>
      <c r="G40" s="141" t="str">
        <f t="shared" si="4"/>
        <v/>
      </c>
      <c r="H40" s="141" t="str">
        <f t="shared" si="5"/>
        <v/>
      </c>
      <c r="I40" s="141" t="str">
        <f t="shared" si="6"/>
        <v/>
      </c>
      <c r="J40" s="142"/>
      <c r="K40" s="142"/>
      <c r="L40" s="143"/>
      <c r="M40" s="144"/>
      <c r="N40" s="72"/>
      <c r="O40" s="31"/>
      <c r="P40" s="32"/>
      <c r="Q40" s="32"/>
      <c r="R40" s="32"/>
      <c r="S40" s="32"/>
      <c r="T40" s="32"/>
      <c r="U40" s="188" t="s">
        <v>109</v>
      </c>
      <c r="V40" s="101">
        <v>100.0</v>
      </c>
      <c r="W40" s="103">
        <v>34.0</v>
      </c>
      <c r="X40" s="104">
        <v>2.8</v>
      </c>
      <c r="Y40" s="105">
        <v>6.6</v>
      </c>
      <c r="Z40" s="108">
        <v>0.4</v>
      </c>
      <c r="AA40" s="110">
        <v>2.6</v>
      </c>
      <c r="AB40" s="32"/>
    </row>
    <row r="41" ht="14.25" customHeight="1">
      <c r="A41" s="31"/>
      <c r="B41" s="138"/>
      <c r="C41" s="148"/>
      <c r="D41" s="140"/>
      <c r="E41" s="141" t="str">
        <f t="shared" si="2"/>
        <v/>
      </c>
      <c r="F41" s="141" t="str">
        <f t="shared" si="3"/>
        <v/>
      </c>
      <c r="G41" s="141" t="str">
        <f t="shared" si="4"/>
        <v/>
      </c>
      <c r="H41" s="141" t="str">
        <f t="shared" si="5"/>
        <v/>
      </c>
      <c r="I41" s="141" t="str">
        <f t="shared" si="6"/>
        <v/>
      </c>
      <c r="J41" s="149" t="s">
        <v>54</v>
      </c>
      <c r="K41" s="150">
        <f>SUM(H37:H44)</f>
        <v>0</v>
      </c>
      <c r="L41" s="143"/>
      <c r="M41" s="144"/>
      <c r="N41" s="72"/>
      <c r="O41" s="31"/>
      <c r="P41" s="32"/>
      <c r="Q41" s="32"/>
      <c r="R41" s="32"/>
      <c r="S41" s="32"/>
      <c r="T41" s="32"/>
      <c r="U41" s="188" t="s">
        <v>110</v>
      </c>
      <c r="V41" s="101">
        <v>100.0</v>
      </c>
      <c r="W41" s="103">
        <v>16.0</v>
      </c>
      <c r="X41" s="104">
        <v>1.2</v>
      </c>
      <c r="Y41" s="105">
        <v>3.4</v>
      </c>
      <c r="Z41" s="108">
        <v>0.2</v>
      </c>
      <c r="AA41" s="110">
        <v>1.1</v>
      </c>
      <c r="AB41" s="32"/>
    </row>
    <row r="42" ht="14.25" customHeight="1">
      <c r="A42" s="31"/>
      <c r="B42" s="138"/>
      <c r="C42" s="148"/>
      <c r="D42" s="140"/>
      <c r="E42" s="141" t="str">
        <f t="shared" si="2"/>
        <v/>
      </c>
      <c r="F42" s="141" t="str">
        <f t="shared" si="3"/>
        <v/>
      </c>
      <c r="G42" s="141" t="str">
        <f t="shared" si="4"/>
        <v/>
      </c>
      <c r="H42" s="141" t="str">
        <f t="shared" si="5"/>
        <v/>
      </c>
      <c r="I42" s="141" t="str">
        <f t="shared" si="6"/>
        <v/>
      </c>
      <c r="J42" s="142"/>
      <c r="K42" s="142"/>
      <c r="L42" s="143"/>
      <c r="M42" s="144"/>
      <c r="N42" s="72"/>
      <c r="O42" s="31"/>
      <c r="P42" s="32"/>
      <c r="Q42" s="32"/>
      <c r="R42" s="32"/>
      <c r="S42" s="32"/>
      <c r="T42" s="32"/>
      <c r="U42" s="188" t="s">
        <v>111</v>
      </c>
      <c r="V42" s="101">
        <v>100.0</v>
      </c>
      <c r="W42" s="103">
        <v>41.0</v>
      </c>
      <c r="X42" s="104">
        <v>0.9</v>
      </c>
      <c r="Y42" s="105">
        <v>9.6</v>
      </c>
      <c r="Z42" s="108">
        <v>0.2</v>
      </c>
      <c r="AA42" s="110">
        <v>2.8</v>
      </c>
      <c r="AB42" s="32"/>
    </row>
    <row r="43" ht="14.25" customHeight="1">
      <c r="A43" s="31"/>
      <c r="B43" s="138"/>
      <c r="C43" s="148"/>
      <c r="D43" s="140"/>
      <c r="E43" s="141" t="str">
        <f t="shared" si="2"/>
        <v/>
      </c>
      <c r="F43" s="141" t="str">
        <f t="shared" si="3"/>
        <v/>
      </c>
      <c r="G43" s="141" t="str">
        <f t="shared" si="4"/>
        <v/>
      </c>
      <c r="H43" s="141" t="str">
        <f t="shared" si="5"/>
        <v/>
      </c>
      <c r="I43" s="141" t="str">
        <f t="shared" si="6"/>
        <v/>
      </c>
      <c r="J43" s="149" t="s">
        <v>55</v>
      </c>
      <c r="K43" s="150">
        <f>SUM(I37:I44)</f>
        <v>0</v>
      </c>
      <c r="L43" s="143"/>
      <c r="M43" s="144"/>
      <c r="N43" s="72"/>
      <c r="O43" s="31"/>
      <c r="P43" s="32"/>
      <c r="Q43" s="32"/>
      <c r="R43" s="32"/>
      <c r="S43" s="32"/>
      <c r="T43" s="32"/>
      <c r="U43" s="188" t="s">
        <v>112</v>
      </c>
      <c r="V43" s="101">
        <v>100.0</v>
      </c>
      <c r="W43" s="103">
        <v>37.0</v>
      </c>
      <c r="X43" s="104">
        <v>1.6</v>
      </c>
      <c r="Y43" s="105">
        <v>7.1</v>
      </c>
      <c r="Z43" s="108">
        <v>0.1</v>
      </c>
      <c r="AA43" s="110">
        <v>0.0</v>
      </c>
      <c r="AB43" s="32"/>
    </row>
    <row r="44" ht="14.25" customHeight="1">
      <c r="A44" s="192"/>
      <c r="B44" s="171"/>
      <c r="C44" s="172"/>
      <c r="D44" s="173"/>
      <c r="E44" s="174" t="str">
        <f t="shared" si="2"/>
        <v/>
      </c>
      <c r="F44" s="174" t="str">
        <f t="shared" si="3"/>
        <v/>
      </c>
      <c r="G44" s="174" t="str">
        <f t="shared" si="4"/>
        <v/>
      </c>
      <c r="H44" s="174" t="str">
        <f t="shared" si="5"/>
        <v/>
      </c>
      <c r="I44" s="174" t="str">
        <f t="shared" si="6"/>
        <v/>
      </c>
      <c r="J44" s="175"/>
      <c r="K44" s="175"/>
      <c r="L44" s="175"/>
      <c r="M44" s="176"/>
      <c r="N44" s="193"/>
      <c r="O44" s="31"/>
      <c r="P44" s="32"/>
      <c r="Q44" s="32"/>
      <c r="R44" s="32"/>
      <c r="S44" s="32"/>
      <c r="T44" s="32"/>
      <c r="U44" s="194" t="s">
        <v>113</v>
      </c>
      <c r="V44" s="195">
        <v>100.0</v>
      </c>
      <c r="W44" s="196">
        <v>251.0</v>
      </c>
      <c r="X44" s="197">
        <v>0.5</v>
      </c>
      <c r="Y44" s="198">
        <v>45.0</v>
      </c>
      <c r="Z44" s="199">
        <v>0.5</v>
      </c>
      <c r="AA44" s="200">
        <v>0.5</v>
      </c>
      <c r="AB44" s="32"/>
    </row>
    <row r="45" ht="14.25" customHeight="1">
      <c r="A45" s="137"/>
      <c r="B45" s="201"/>
      <c r="C45" s="201"/>
      <c r="D45" s="202"/>
      <c r="E45" s="203"/>
      <c r="F45" s="203"/>
      <c r="G45" s="203"/>
      <c r="H45" s="203"/>
      <c r="I45" s="203"/>
      <c r="J45" s="201"/>
      <c r="K45" s="204"/>
      <c r="L45" s="204"/>
      <c r="M45" s="201"/>
      <c r="N45" s="205"/>
      <c r="O45" s="206" t="s">
        <v>114</v>
      </c>
      <c r="P45" s="207"/>
      <c r="Q45" s="207"/>
      <c r="R45" s="207"/>
      <c r="S45" s="208"/>
      <c r="T45" s="32"/>
      <c r="U45" s="209" t="s">
        <v>115</v>
      </c>
      <c r="V45" s="210">
        <v>100.0</v>
      </c>
      <c r="W45" s="211">
        <v>328.0</v>
      </c>
      <c r="X45" s="212">
        <v>0.5</v>
      </c>
      <c r="Y45" s="213">
        <v>81.7</v>
      </c>
      <c r="Z45" s="214">
        <v>0.0</v>
      </c>
      <c r="AA45" s="215">
        <v>0.0</v>
      </c>
      <c r="AB45" s="32"/>
    </row>
    <row r="46" ht="14.25" customHeight="1">
      <c r="A46" s="32"/>
      <c r="B46" s="137"/>
      <c r="C46" s="137"/>
      <c r="D46" s="216"/>
      <c r="E46" s="217"/>
      <c r="F46" s="217"/>
      <c r="G46" s="217"/>
      <c r="H46" s="217"/>
      <c r="I46" s="217"/>
      <c r="J46" s="137"/>
      <c r="K46" s="218"/>
      <c r="L46" s="218"/>
      <c r="M46" s="137"/>
      <c r="N46" s="219"/>
      <c r="O46" s="220" t="s">
        <v>109</v>
      </c>
      <c r="P46" s="207"/>
      <c r="Q46" s="208"/>
      <c r="R46" s="221" t="s">
        <v>104</v>
      </c>
      <c r="S46" s="208"/>
      <c r="T46" s="32"/>
      <c r="U46" s="209" t="s">
        <v>116</v>
      </c>
      <c r="V46" s="210">
        <v>100.0</v>
      </c>
      <c r="W46" s="211">
        <v>145.0</v>
      </c>
      <c r="X46" s="212">
        <v>12.0</v>
      </c>
      <c r="Y46" s="213">
        <v>1.0</v>
      </c>
      <c r="Z46" s="214">
        <v>10.0</v>
      </c>
      <c r="AA46" s="215">
        <v>0.0</v>
      </c>
      <c r="AB46" s="32"/>
    </row>
    <row r="47" ht="14.25" customHeight="1">
      <c r="A47" s="222"/>
      <c r="B47" s="223" t="s">
        <v>117</v>
      </c>
      <c r="C47" s="58"/>
      <c r="D47" s="224" t="s">
        <v>42</v>
      </c>
      <c r="E47" s="225">
        <f t="shared" ref="E47:I47" si="7">SUM(E50:E89)</f>
        <v>0</v>
      </c>
      <c r="F47" s="225">
        <f t="shared" si="7"/>
        <v>0</v>
      </c>
      <c r="G47" s="225">
        <f t="shared" si="7"/>
        <v>0</v>
      </c>
      <c r="H47" s="225">
        <f t="shared" si="7"/>
        <v>0</v>
      </c>
      <c r="I47" s="225">
        <f t="shared" si="7"/>
        <v>0</v>
      </c>
      <c r="J47" s="226"/>
      <c r="K47" s="69"/>
      <c r="L47" s="69"/>
      <c r="M47" s="71"/>
      <c r="N47" s="227"/>
      <c r="O47" s="228"/>
      <c r="Q47" s="229"/>
      <c r="R47" s="230" t="s">
        <v>118</v>
      </c>
      <c r="S47" s="229"/>
      <c r="T47" s="32"/>
      <c r="U47" s="231" t="s">
        <v>119</v>
      </c>
      <c r="V47" s="232">
        <v>100.0</v>
      </c>
      <c r="W47" s="233">
        <v>158.0</v>
      </c>
      <c r="X47" s="234">
        <v>21.0</v>
      </c>
      <c r="Y47" s="235">
        <v>0.0</v>
      </c>
      <c r="Z47" s="236">
        <v>5.0</v>
      </c>
      <c r="AA47" s="237">
        <v>0.0</v>
      </c>
      <c r="AB47" s="32"/>
    </row>
    <row r="48" ht="14.25" customHeight="1">
      <c r="A48" s="222"/>
      <c r="B48" s="238"/>
      <c r="C48" s="239"/>
      <c r="D48" s="240"/>
      <c r="E48" s="241"/>
      <c r="F48" s="241"/>
      <c r="G48" s="241"/>
      <c r="H48" s="241"/>
      <c r="I48" s="241"/>
      <c r="J48" s="242"/>
      <c r="K48" s="242"/>
      <c r="L48" s="242"/>
      <c r="M48" s="243"/>
      <c r="N48" s="227"/>
      <c r="O48" s="228"/>
      <c r="Q48" s="229"/>
      <c r="R48" s="244" t="s">
        <v>120</v>
      </c>
      <c r="S48" s="229"/>
      <c r="T48" s="32"/>
      <c r="U48" s="231"/>
      <c r="V48" s="232"/>
      <c r="W48" s="233"/>
      <c r="X48" s="234"/>
      <c r="Y48" s="235"/>
      <c r="Z48" s="236"/>
      <c r="AA48" s="237"/>
      <c r="AB48" s="32"/>
    </row>
    <row r="49" ht="14.25" customHeight="1">
      <c r="A49" s="31"/>
      <c r="B49" s="73" t="s">
        <v>43</v>
      </c>
      <c r="C49" s="74" t="s">
        <v>44</v>
      </c>
      <c r="D49" s="84" t="s">
        <v>121</v>
      </c>
      <c r="E49" s="89" t="s">
        <v>51</v>
      </c>
      <c r="F49" s="89" t="s">
        <v>52</v>
      </c>
      <c r="G49" s="89" t="s">
        <v>53</v>
      </c>
      <c r="H49" s="89" t="s">
        <v>54</v>
      </c>
      <c r="I49" s="89" t="s">
        <v>55</v>
      </c>
      <c r="J49" s="92" t="s">
        <v>56</v>
      </c>
      <c r="K49" s="94"/>
      <c r="L49" s="95"/>
      <c r="M49" s="97" t="s">
        <v>14</v>
      </c>
      <c r="N49" s="72"/>
      <c r="O49" s="245"/>
      <c r="P49" s="246"/>
      <c r="Q49" s="152"/>
      <c r="R49" s="247" t="s">
        <v>110</v>
      </c>
      <c r="S49" s="152"/>
      <c r="T49" s="32"/>
      <c r="U49" s="188" t="s">
        <v>122</v>
      </c>
      <c r="V49" s="101">
        <v>100.0</v>
      </c>
      <c r="W49" s="103">
        <v>114.0</v>
      </c>
      <c r="X49" s="104">
        <v>23.0</v>
      </c>
      <c r="Y49" s="105">
        <v>0.0</v>
      </c>
      <c r="Z49" s="108">
        <v>1.6</v>
      </c>
      <c r="AA49" s="110">
        <v>0.0</v>
      </c>
      <c r="AB49" s="32"/>
    </row>
    <row r="50" ht="14.25" customHeight="1">
      <c r="A50" s="31"/>
      <c r="B50" s="116" t="s">
        <v>62</v>
      </c>
      <c r="C50" s="177"/>
      <c r="D50" s="248"/>
      <c r="E50" s="249" t="str">
        <f t="shared" ref="E50:E89" si="8">IFERROR(ROUND(INDEX(W:W,MATCH($C50,$U:$U,0))/ROUND(V49/D50,2),0),"")</f>
        <v/>
      </c>
      <c r="F50" s="249" t="str">
        <f t="shared" ref="F50:F89" si="9">IFERROR(ROUND(INDEX(X:X,MATCH($C50,$U:$U,0))/ROUND(V49/D50,2),0),"")</f>
        <v/>
      </c>
      <c r="G50" s="249" t="str">
        <f t="shared" ref="G50:G89" si="10">IFERROR(ROUND(INDEX(Y:Y,MATCH($C50,$U:$U,0))/ROUND(V49/D50,2),0),"")</f>
        <v/>
      </c>
      <c r="H50" s="249" t="str">
        <f t="shared" ref="H50:H89" si="11">IFERROR(ROUND(INDEX(Z:Z,MATCH($C50,$U:$U,0))/ROUND(V49/D50,2),0),"")</f>
        <v/>
      </c>
      <c r="I50" s="249" t="str">
        <f t="shared" ref="I50:I89" si="12">IFERROR(ROUND(INDEX(AA:AA,MATCH($C50,$U:$U,0))/ROUND(V49/D50,2),0),"")</f>
        <v/>
      </c>
      <c r="J50" s="133" t="s">
        <v>52</v>
      </c>
      <c r="K50" s="134">
        <f>SUM(F50:F57)</f>
        <v>0</v>
      </c>
      <c r="L50" s="134">
        <f>SUM(E50:E57)</f>
        <v>0</v>
      </c>
      <c r="M50" s="136"/>
      <c r="N50" s="72"/>
      <c r="O50" s="250" t="s">
        <v>123</v>
      </c>
      <c r="P50" s="18"/>
      <c r="Q50" s="19"/>
      <c r="R50" s="251" t="s">
        <v>124</v>
      </c>
      <c r="S50" s="19"/>
      <c r="T50" s="32"/>
      <c r="U50" s="188" t="s">
        <v>125</v>
      </c>
      <c r="V50" s="101">
        <v>100.0</v>
      </c>
      <c r="W50" s="103">
        <v>184.0</v>
      </c>
      <c r="X50" s="104">
        <v>26.0</v>
      </c>
      <c r="Y50" s="105">
        <v>0.0</v>
      </c>
      <c r="Z50" s="108">
        <v>6.0</v>
      </c>
      <c r="AA50" s="110">
        <v>0.0</v>
      </c>
      <c r="AB50" s="32"/>
    </row>
    <row r="51" ht="14.25" customHeight="1">
      <c r="A51" s="31"/>
      <c r="B51" s="138"/>
      <c r="C51" s="148"/>
      <c r="D51" s="252"/>
      <c r="E51" s="253" t="str">
        <f t="shared" si="8"/>
        <v/>
      </c>
      <c r="F51" s="253" t="str">
        <f t="shared" si="9"/>
        <v/>
      </c>
      <c r="G51" s="253" t="str">
        <f t="shared" si="10"/>
        <v/>
      </c>
      <c r="H51" s="253" t="str">
        <f t="shared" si="11"/>
        <v/>
      </c>
      <c r="I51" s="253" t="str">
        <f t="shared" si="12"/>
        <v/>
      </c>
      <c r="J51" s="142"/>
      <c r="K51" s="142"/>
      <c r="L51" s="143"/>
      <c r="M51" s="144"/>
      <c r="N51" s="72"/>
      <c r="O51" s="220" t="s">
        <v>126</v>
      </c>
      <c r="P51" s="207"/>
      <c r="Q51" s="208"/>
      <c r="R51" s="221" t="s">
        <v>127</v>
      </c>
      <c r="S51" s="208"/>
      <c r="T51" s="32"/>
      <c r="U51" s="188" t="s">
        <v>128</v>
      </c>
      <c r="V51" s="101">
        <v>100.0</v>
      </c>
      <c r="W51" s="103">
        <v>128.0</v>
      </c>
      <c r="X51" s="104">
        <v>23.0</v>
      </c>
      <c r="Y51" s="105">
        <v>0.0</v>
      </c>
      <c r="Z51" s="108">
        <v>3.0</v>
      </c>
      <c r="AA51" s="110">
        <v>0.0</v>
      </c>
      <c r="AB51" s="32"/>
    </row>
    <row r="52" ht="14.25" customHeight="1">
      <c r="A52" s="31"/>
      <c r="B52" s="138"/>
      <c r="C52" s="148"/>
      <c r="D52" s="252"/>
      <c r="E52" s="253" t="str">
        <f t="shared" si="8"/>
        <v/>
      </c>
      <c r="F52" s="253" t="str">
        <f t="shared" si="9"/>
        <v/>
      </c>
      <c r="G52" s="253" t="str">
        <f t="shared" si="10"/>
        <v/>
      </c>
      <c r="H52" s="253" t="str">
        <f t="shared" si="11"/>
        <v/>
      </c>
      <c r="I52" s="253" t="str">
        <f t="shared" si="12"/>
        <v/>
      </c>
      <c r="J52" s="149" t="s">
        <v>53</v>
      </c>
      <c r="K52" s="150">
        <f>SUM(G50:G57)</f>
        <v>0</v>
      </c>
      <c r="L52" s="143"/>
      <c r="M52" s="144"/>
      <c r="N52" s="72"/>
      <c r="O52" s="228"/>
      <c r="Q52" s="229"/>
      <c r="R52" s="230" t="s">
        <v>129</v>
      </c>
      <c r="S52" s="229"/>
      <c r="T52" s="32"/>
      <c r="U52" s="188" t="s">
        <v>130</v>
      </c>
      <c r="V52" s="101">
        <v>100.0</v>
      </c>
      <c r="W52" s="103">
        <v>190.0</v>
      </c>
      <c r="X52" s="104">
        <v>23.0</v>
      </c>
      <c r="Y52" s="105">
        <v>0.0</v>
      </c>
      <c r="Z52" s="108">
        <v>10.0</v>
      </c>
      <c r="AA52" s="110">
        <v>0.0</v>
      </c>
      <c r="AB52" s="32"/>
    </row>
    <row r="53" ht="14.25" customHeight="1">
      <c r="A53" s="31"/>
      <c r="B53" s="138"/>
      <c r="C53" s="148"/>
      <c r="D53" s="252"/>
      <c r="E53" s="253" t="str">
        <f t="shared" si="8"/>
        <v/>
      </c>
      <c r="F53" s="253" t="str">
        <f t="shared" si="9"/>
        <v/>
      </c>
      <c r="G53" s="253" t="str">
        <f t="shared" si="10"/>
        <v/>
      </c>
      <c r="H53" s="253" t="str">
        <f t="shared" si="11"/>
        <v/>
      </c>
      <c r="I53" s="253" t="str">
        <f t="shared" si="12"/>
        <v/>
      </c>
      <c r="J53" s="142"/>
      <c r="K53" s="142"/>
      <c r="L53" s="143"/>
      <c r="M53" s="144"/>
      <c r="N53" s="72"/>
      <c r="O53" s="228"/>
      <c r="Q53" s="229"/>
      <c r="R53" s="230" t="s">
        <v>131</v>
      </c>
      <c r="S53" s="229"/>
      <c r="T53" s="32"/>
      <c r="U53" s="188" t="s">
        <v>132</v>
      </c>
      <c r="V53" s="101">
        <v>100.0</v>
      </c>
      <c r="W53" s="103">
        <v>82.0</v>
      </c>
      <c r="X53" s="104">
        <v>18.0</v>
      </c>
      <c r="Y53" s="105">
        <v>0.0</v>
      </c>
      <c r="Z53" s="108">
        <v>1.0</v>
      </c>
      <c r="AA53" s="110">
        <v>0.0</v>
      </c>
      <c r="AB53" s="32"/>
    </row>
    <row r="54" ht="14.25" customHeight="1">
      <c r="A54" s="31"/>
      <c r="B54" s="138"/>
      <c r="C54" s="148"/>
      <c r="D54" s="252"/>
      <c r="E54" s="253" t="str">
        <f t="shared" si="8"/>
        <v/>
      </c>
      <c r="F54" s="253" t="str">
        <f t="shared" si="9"/>
        <v/>
      </c>
      <c r="G54" s="253" t="str">
        <f t="shared" si="10"/>
        <v/>
      </c>
      <c r="H54" s="253" t="str">
        <f t="shared" si="11"/>
        <v/>
      </c>
      <c r="I54" s="253" t="str">
        <f t="shared" si="12"/>
        <v/>
      </c>
      <c r="J54" s="149" t="s">
        <v>54</v>
      </c>
      <c r="K54" s="150">
        <f>SUM(H50:H57)</f>
        <v>0</v>
      </c>
      <c r="L54" s="143"/>
      <c r="M54" s="144"/>
      <c r="N54" s="72"/>
      <c r="O54" s="245"/>
      <c r="P54" s="246"/>
      <c r="Q54" s="152"/>
      <c r="R54" s="247" t="s">
        <v>133</v>
      </c>
      <c r="S54" s="152"/>
      <c r="T54" s="32"/>
      <c r="U54" s="188" t="s">
        <v>134</v>
      </c>
      <c r="V54" s="101">
        <v>100.0</v>
      </c>
      <c r="W54" s="103">
        <v>82.0</v>
      </c>
      <c r="X54" s="104">
        <v>18.0</v>
      </c>
      <c r="Y54" s="105">
        <v>0.0</v>
      </c>
      <c r="Z54" s="108">
        <v>1.0</v>
      </c>
      <c r="AA54" s="110">
        <v>0.0</v>
      </c>
      <c r="AB54" s="32"/>
    </row>
    <row r="55" ht="14.25" customHeight="1">
      <c r="A55" s="31"/>
      <c r="B55" s="138"/>
      <c r="C55" s="148"/>
      <c r="D55" s="252"/>
      <c r="E55" s="253" t="str">
        <f t="shared" si="8"/>
        <v/>
      </c>
      <c r="F55" s="253" t="str">
        <f t="shared" si="9"/>
        <v/>
      </c>
      <c r="G55" s="253" t="str">
        <f t="shared" si="10"/>
        <v/>
      </c>
      <c r="H55" s="253" t="str">
        <f t="shared" si="11"/>
        <v/>
      </c>
      <c r="I55" s="253" t="str">
        <f t="shared" si="12"/>
        <v/>
      </c>
      <c r="J55" s="142"/>
      <c r="K55" s="142"/>
      <c r="L55" s="143"/>
      <c r="M55" s="144"/>
      <c r="N55" s="72"/>
      <c r="O55" s="220" t="s">
        <v>135</v>
      </c>
      <c r="P55" s="207"/>
      <c r="Q55" s="208"/>
      <c r="R55" s="221" t="s">
        <v>136</v>
      </c>
      <c r="S55" s="208"/>
      <c r="T55" s="32"/>
      <c r="U55" s="188" t="s">
        <v>137</v>
      </c>
      <c r="V55" s="101">
        <v>100.0</v>
      </c>
      <c r="W55" s="103">
        <v>80.0</v>
      </c>
      <c r="X55" s="104">
        <v>18.7</v>
      </c>
      <c r="Y55" s="105">
        <v>0.5</v>
      </c>
      <c r="Z55" s="108">
        <v>0.5</v>
      </c>
      <c r="AA55" s="110">
        <v>0.0</v>
      </c>
      <c r="AB55" s="32"/>
    </row>
    <row r="56" ht="14.25" customHeight="1">
      <c r="A56" s="31"/>
      <c r="B56" s="138"/>
      <c r="C56" s="148"/>
      <c r="D56" s="252"/>
      <c r="E56" s="253" t="str">
        <f t="shared" si="8"/>
        <v/>
      </c>
      <c r="F56" s="253" t="str">
        <f t="shared" si="9"/>
        <v/>
      </c>
      <c r="G56" s="253" t="str">
        <f t="shared" si="10"/>
        <v/>
      </c>
      <c r="H56" s="253" t="str">
        <f t="shared" si="11"/>
        <v/>
      </c>
      <c r="I56" s="253" t="str">
        <f t="shared" si="12"/>
        <v/>
      </c>
      <c r="J56" s="149" t="s">
        <v>55</v>
      </c>
      <c r="K56" s="150">
        <f>SUM(I50:I57)</f>
        <v>0</v>
      </c>
      <c r="L56" s="143"/>
      <c r="M56" s="144"/>
      <c r="N56" s="72"/>
      <c r="O56" s="228"/>
      <c r="Q56" s="229"/>
      <c r="R56" s="230" t="s">
        <v>138</v>
      </c>
      <c r="S56" s="229"/>
      <c r="T56" s="32"/>
      <c r="U56" s="188" t="s">
        <v>139</v>
      </c>
      <c r="V56" s="101">
        <v>100.0</v>
      </c>
      <c r="W56" s="103">
        <v>380.0</v>
      </c>
      <c r="X56" s="104">
        <v>27.0</v>
      </c>
      <c r="Y56" s="105">
        <v>0.5</v>
      </c>
      <c r="Z56" s="108">
        <v>30.0</v>
      </c>
      <c r="AA56" s="110">
        <v>0.0</v>
      </c>
      <c r="AB56" s="32"/>
    </row>
    <row r="57" ht="14.25" customHeight="1">
      <c r="A57" s="31"/>
      <c r="B57" s="171"/>
      <c r="C57" s="172"/>
      <c r="D57" s="254"/>
      <c r="E57" s="255" t="str">
        <f t="shared" si="8"/>
        <v/>
      </c>
      <c r="F57" s="255" t="str">
        <f t="shared" si="9"/>
        <v/>
      </c>
      <c r="G57" s="255" t="str">
        <f t="shared" si="10"/>
        <v/>
      </c>
      <c r="H57" s="255" t="str">
        <f t="shared" si="11"/>
        <v/>
      </c>
      <c r="I57" s="255" t="str">
        <f t="shared" si="12"/>
        <v/>
      </c>
      <c r="J57" s="175"/>
      <c r="K57" s="175"/>
      <c r="L57" s="175"/>
      <c r="M57" s="176"/>
      <c r="N57" s="72"/>
      <c r="O57" s="245"/>
      <c r="P57" s="246"/>
      <c r="Q57" s="152"/>
      <c r="R57" s="247" t="s">
        <v>140</v>
      </c>
      <c r="S57" s="152"/>
      <c r="T57" s="32"/>
      <c r="U57" s="188" t="s">
        <v>141</v>
      </c>
      <c r="V57" s="101">
        <v>100.0</v>
      </c>
      <c r="W57" s="103">
        <v>411.0</v>
      </c>
      <c r="X57" s="104">
        <v>26.7</v>
      </c>
      <c r="Y57" s="105">
        <v>1.0</v>
      </c>
      <c r="Z57" s="108">
        <v>33.3</v>
      </c>
      <c r="AA57" s="110">
        <v>0.0</v>
      </c>
      <c r="AB57" s="32"/>
    </row>
    <row r="58" ht="14.25" customHeight="1">
      <c r="A58" s="31"/>
      <c r="B58" s="116" t="s">
        <v>76</v>
      </c>
      <c r="C58" s="177"/>
      <c r="D58" s="248"/>
      <c r="E58" s="249" t="str">
        <f t="shared" si="8"/>
        <v/>
      </c>
      <c r="F58" s="249" t="str">
        <f t="shared" si="9"/>
        <v/>
      </c>
      <c r="G58" s="249" t="str">
        <f t="shared" si="10"/>
        <v/>
      </c>
      <c r="H58" s="249" t="str">
        <f t="shared" si="11"/>
        <v/>
      </c>
      <c r="I58" s="249" t="str">
        <f t="shared" si="12"/>
        <v/>
      </c>
      <c r="J58" s="133" t="s">
        <v>52</v>
      </c>
      <c r="K58" s="134">
        <f>SUM(F58:F65)</f>
        <v>0</v>
      </c>
      <c r="L58" s="134">
        <f>SUM(E58:E65)</f>
        <v>0</v>
      </c>
      <c r="M58" s="136"/>
      <c r="N58" s="72"/>
      <c r="O58" s="250" t="s">
        <v>142</v>
      </c>
      <c r="P58" s="18"/>
      <c r="Q58" s="19"/>
      <c r="R58" s="251" t="s">
        <v>125</v>
      </c>
      <c r="S58" s="19"/>
      <c r="T58" s="32"/>
      <c r="U58" s="188" t="s">
        <v>143</v>
      </c>
      <c r="V58" s="101">
        <v>100.0</v>
      </c>
      <c r="W58" s="103">
        <v>238.0</v>
      </c>
      <c r="X58" s="104">
        <v>18.0</v>
      </c>
      <c r="Y58" s="105">
        <v>1.0</v>
      </c>
      <c r="Z58" s="108">
        <v>18.0</v>
      </c>
      <c r="AA58" s="110">
        <v>0.0</v>
      </c>
      <c r="AB58" s="32"/>
    </row>
    <row r="59" ht="14.25" customHeight="1">
      <c r="A59" s="31"/>
      <c r="B59" s="138"/>
      <c r="C59" s="148"/>
      <c r="D59" s="252"/>
      <c r="E59" s="253" t="str">
        <f t="shared" si="8"/>
        <v/>
      </c>
      <c r="F59" s="253" t="str">
        <f t="shared" si="9"/>
        <v/>
      </c>
      <c r="G59" s="253" t="str">
        <f t="shared" si="10"/>
        <v/>
      </c>
      <c r="H59" s="253" t="str">
        <f t="shared" si="11"/>
        <v/>
      </c>
      <c r="I59" s="253" t="str">
        <f t="shared" si="12"/>
        <v/>
      </c>
      <c r="J59" s="142"/>
      <c r="K59" s="142"/>
      <c r="L59" s="143"/>
      <c r="M59" s="144"/>
      <c r="N59" s="72"/>
      <c r="O59" s="250" t="s">
        <v>144</v>
      </c>
      <c r="P59" s="18"/>
      <c r="Q59" s="19"/>
      <c r="R59" s="251" t="s">
        <v>145</v>
      </c>
      <c r="S59" s="19"/>
      <c r="T59" s="32"/>
      <c r="U59" s="188" t="s">
        <v>146</v>
      </c>
      <c r="V59" s="101">
        <v>100.0</v>
      </c>
      <c r="W59" s="103">
        <v>51.0</v>
      </c>
      <c r="X59" s="104">
        <v>6.8</v>
      </c>
      <c r="Y59" s="105">
        <v>5.3</v>
      </c>
      <c r="Z59" s="108">
        <v>0.5</v>
      </c>
      <c r="AA59" s="110">
        <v>0.0</v>
      </c>
      <c r="AB59" s="32"/>
    </row>
    <row r="60" ht="14.25" customHeight="1">
      <c r="A60" s="31"/>
      <c r="B60" s="138"/>
      <c r="C60" s="148"/>
      <c r="D60" s="252"/>
      <c r="E60" s="253" t="str">
        <f t="shared" si="8"/>
        <v/>
      </c>
      <c r="F60" s="253" t="str">
        <f t="shared" si="9"/>
        <v/>
      </c>
      <c r="G60" s="253" t="str">
        <f t="shared" si="10"/>
        <v/>
      </c>
      <c r="H60" s="253" t="str">
        <f t="shared" si="11"/>
        <v/>
      </c>
      <c r="I60" s="253" t="str">
        <f t="shared" si="12"/>
        <v/>
      </c>
      <c r="J60" s="149" t="s">
        <v>53</v>
      </c>
      <c r="K60" s="150">
        <f>SUM(G58:G65)</f>
        <v>0</v>
      </c>
      <c r="L60" s="143"/>
      <c r="M60" s="144"/>
      <c r="N60" s="72"/>
      <c r="O60" s="220" t="s">
        <v>147</v>
      </c>
      <c r="P60" s="207"/>
      <c r="Q60" s="208"/>
      <c r="R60" s="251" t="s">
        <v>148</v>
      </c>
      <c r="S60" s="19"/>
      <c r="T60" s="32"/>
      <c r="U60" s="188" t="s">
        <v>149</v>
      </c>
      <c r="V60" s="101">
        <v>100.0</v>
      </c>
      <c r="W60" s="103">
        <v>77.0</v>
      </c>
      <c r="X60" s="104">
        <v>8.0</v>
      </c>
      <c r="Y60" s="105">
        <v>3.5</v>
      </c>
      <c r="Z60" s="108">
        <v>3.3</v>
      </c>
      <c r="AA60" s="110">
        <v>0.0</v>
      </c>
      <c r="AB60" s="32"/>
    </row>
    <row r="61" ht="14.25" customHeight="1">
      <c r="A61" s="31"/>
      <c r="B61" s="138"/>
      <c r="C61" s="148"/>
      <c r="D61" s="252"/>
      <c r="E61" s="253" t="str">
        <f t="shared" si="8"/>
        <v/>
      </c>
      <c r="F61" s="253" t="str">
        <f t="shared" si="9"/>
        <v/>
      </c>
      <c r="G61" s="253" t="str">
        <f t="shared" si="10"/>
        <v/>
      </c>
      <c r="H61" s="253" t="str">
        <f t="shared" si="11"/>
        <v/>
      </c>
      <c r="I61" s="253" t="str">
        <f t="shared" si="12"/>
        <v/>
      </c>
      <c r="J61" s="142"/>
      <c r="K61" s="142"/>
      <c r="L61" s="143"/>
      <c r="M61" s="144"/>
      <c r="N61" s="72"/>
      <c r="O61" s="245"/>
      <c r="P61" s="246"/>
      <c r="Q61" s="152"/>
      <c r="R61" s="251" t="s">
        <v>150</v>
      </c>
      <c r="S61" s="19"/>
      <c r="T61" s="32"/>
      <c r="U61" s="188" t="s">
        <v>151</v>
      </c>
      <c r="V61" s="101">
        <v>100.0</v>
      </c>
      <c r="W61" s="103">
        <v>56.0</v>
      </c>
      <c r="X61" s="104">
        <v>10.0</v>
      </c>
      <c r="Y61" s="105">
        <v>4.0</v>
      </c>
      <c r="Z61" s="108">
        <v>0.5</v>
      </c>
      <c r="AA61" s="110">
        <v>0.0</v>
      </c>
      <c r="AB61" s="32"/>
    </row>
    <row r="62" ht="14.25" customHeight="1">
      <c r="A62" s="31"/>
      <c r="B62" s="138"/>
      <c r="C62" s="148"/>
      <c r="D62" s="252"/>
      <c r="E62" s="253" t="str">
        <f t="shared" si="8"/>
        <v/>
      </c>
      <c r="F62" s="253" t="str">
        <f t="shared" si="9"/>
        <v/>
      </c>
      <c r="G62" s="253" t="str">
        <f t="shared" si="10"/>
        <v/>
      </c>
      <c r="H62" s="253" t="str">
        <f t="shared" si="11"/>
        <v/>
      </c>
      <c r="I62" s="253" t="str">
        <f t="shared" si="12"/>
        <v/>
      </c>
      <c r="J62" s="149" t="s">
        <v>54</v>
      </c>
      <c r="K62" s="150">
        <f>SUM(H58:H65)</f>
        <v>0</v>
      </c>
      <c r="L62" s="143"/>
      <c r="M62" s="144"/>
      <c r="N62" s="72"/>
      <c r="O62" s="31"/>
      <c r="P62" s="32"/>
      <c r="Q62" s="32"/>
      <c r="R62" s="32"/>
      <c r="S62" s="32"/>
      <c r="T62" s="32"/>
      <c r="U62" s="188" t="s">
        <v>152</v>
      </c>
      <c r="V62" s="101">
        <v>100.0</v>
      </c>
      <c r="W62" s="103">
        <v>42.0</v>
      </c>
      <c r="X62" s="104">
        <v>3.5</v>
      </c>
      <c r="Y62" s="105">
        <v>4.3</v>
      </c>
      <c r="Z62" s="108">
        <v>1.1</v>
      </c>
      <c r="AA62" s="110">
        <v>0.0</v>
      </c>
      <c r="AB62" s="32"/>
    </row>
    <row r="63" ht="14.25" customHeight="1">
      <c r="A63" s="31"/>
      <c r="B63" s="138"/>
      <c r="C63" s="148"/>
      <c r="D63" s="252"/>
      <c r="E63" s="253" t="str">
        <f t="shared" si="8"/>
        <v/>
      </c>
      <c r="F63" s="253" t="str">
        <f t="shared" si="9"/>
        <v/>
      </c>
      <c r="G63" s="253" t="str">
        <f t="shared" si="10"/>
        <v/>
      </c>
      <c r="H63" s="253" t="str">
        <f t="shared" si="11"/>
        <v/>
      </c>
      <c r="I63" s="253" t="str">
        <f t="shared" si="12"/>
        <v/>
      </c>
      <c r="J63" s="142"/>
      <c r="K63" s="142"/>
      <c r="L63" s="143"/>
      <c r="M63" s="144"/>
      <c r="N63" s="72"/>
      <c r="O63" s="31"/>
      <c r="P63" s="32"/>
      <c r="Q63" s="32"/>
      <c r="R63" s="32"/>
      <c r="S63" s="32"/>
      <c r="T63" s="32"/>
      <c r="U63" s="188" t="s">
        <v>153</v>
      </c>
      <c r="V63" s="101">
        <v>100.0</v>
      </c>
      <c r="W63" s="103">
        <v>88.0</v>
      </c>
      <c r="X63" s="104">
        <v>3.0</v>
      </c>
      <c r="Y63" s="105">
        <v>10.8</v>
      </c>
      <c r="Z63" s="108">
        <v>3.2</v>
      </c>
      <c r="AA63" s="110">
        <v>0.0</v>
      </c>
      <c r="AB63" s="32"/>
    </row>
    <row r="64" ht="14.25" customHeight="1">
      <c r="A64" s="31"/>
      <c r="B64" s="138"/>
      <c r="C64" s="148"/>
      <c r="D64" s="252"/>
      <c r="E64" s="253" t="str">
        <f t="shared" si="8"/>
        <v/>
      </c>
      <c r="F64" s="253" t="str">
        <f t="shared" si="9"/>
        <v/>
      </c>
      <c r="G64" s="253" t="str">
        <f t="shared" si="10"/>
        <v/>
      </c>
      <c r="H64" s="253" t="str">
        <f t="shared" si="11"/>
        <v/>
      </c>
      <c r="I64" s="253" t="str">
        <f t="shared" si="12"/>
        <v/>
      </c>
      <c r="J64" s="149" t="s">
        <v>55</v>
      </c>
      <c r="K64" s="150">
        <f>SUM(I58:I65)</f>
        <v>0</v>
      </c>
      <c r="L64" s="143"/>
      <c r="M64" s="144"/>
      <c r="N64" s="72"/>
      <c r="O64" s="31"/>
      <c r="P64" s="32"/>
      <c r="Q64" s="32"/>
      <c r="R64" s="32"/>
      <c r="S64" s="32"/>
      <c r="T64" s="32"/>
      <c r="U64" s="188" t="s">
        <v>154</v>
      </c>
      <c r="V64" s="101">
        <v>100.0</v>
      </c>
      <c r="W64" s="103">
        <v>47.0</v>
      </c>
      <c r="X64" s="104">
        <v>3.3</v>
      </c>
      <c r="Y64" s="105">
        <v>4.8</v>
      </c>
      <c r="Z64" s="108">
        <v>1.6</v>
      </c>
      <c r="AA64" s="110">
        <v>0.0</v>
      </c>
      <c r="AB64" s="32"/>
    </row>
    <row r="65" ht="14.25" customHeight="1">
      <c r="A65" s="31"/>
      <c r="B65" s="171"/>
      <c r="C65" s="172"/>
      <c r="D65" s="254"/>
      <c r="E65" s="255" t="str">
        <f t="shared" si="8"/>
        <v/>
      </c>
      <c r="F65" s="255" t="str">
        <f t="shared" si="9"/>
        <v/>
      </c>
      <c r="G65" s="255" t="str">
        <f t="shared" si="10"/>
        <v/>
      </c>
      <c r="H65" s="255" t="str">
        <f t="shared" si="11"/>
        <v/>
      </c>
      <c r="I65" s="255" t="str">
        <f t="shared" si="12"/>
        <v/>
      </c>
      <c r="J65" s="175"/>
      <c r="K65" s="175"/>
      <c r="L65" s="175"/>
      <c r="M65" s="176"/>
      <c r="N65" s="72"/>
      <c r="O65" s="31"/>
      <c r="P65" s="32"/>
      <c r="Q65" s="32"/>
      <c r="R65" s="32"/>
      <c r="S65" s="32"/>
      <c r="T65" s="32"/>
      <c r="U65" s="188" t="s">
        <v>155</v>
      </c>
      <c r="V65" s="101">
        <v>100.0</v>
      </c>
      <c r="W65" s="103">
        <v>378.0</v>
      </c>
      <c r="X65" s="104">
        <v>85.0</v>
      </c>
      <c r="Y65" s="105">
        <v>5.0</v>
      </c>
      <c r="Z65" s="108">
        <v>2.0</v>
      </c>
      <c r="AA65" s="110">
        <v>2.5</v>
      </c>
      <c r="AB65" s="32"/>
    </row>
    <row r="66" ht="14.25" customHeight="1">
      <c r="A66" s="31"/>
      <c r="B66" s="116" t="s">
        <v>87</v>
      </c>
      <c r="C66" s="177"/>
      <c r="D66" s="248"/>
      <c r="E66" s="249" t="str">
        <f t="shared" si="8"/>
        <v/>
      </c>
      <c r="F66" s="249" t="str">
        <f t="shared" si="9"/>
        <v/>
      </c>
      <c r="G66" s="249" t="str">
        <f t="shared" si="10"/>
        <v/>
      </c>
      <c r="H66" s="249" t="str">
        <f t="shared" si="11"/>
        <v/>
      </c>
      <c r="I66" s="249" t="str">
        <f t="shared" si="12"/>
        <v/>
      </c>
      <c r="J66" s="133" t="s">
        <v>52</v>
      </c>
      <c r="K66" s="134">
        <f>SUM(F66:F73)</f>
        <v>0</v>
      </c>
      <c r="L66" s="134">
        <f>SUM(E66:E73)</f>
        <v>0</v>
      </c>
      <c r="M66" s="136"/>
      <c r="N66" s="72"/>
      <c r="O66" s="31"/>
      <c r="P66" s="32"/>
      <c r="Q66" s="32"/>
      <c r="R66" s="32"/>
      <c r="S66" s="32"/>
      <c r="T66" s="32"/>
      <c r="U66" s="188" t="s">
        <v>156</v>
      </c>
      <c r="V66" s="101">
        <v>100.0</v>
      </c>
      <c r="W66" s="103">
        <v>204.0</v>
      </c>
      <c r="X66" s="104">
        <v>24.0</v>
      </c>
      <c r="Y66" s="105">
        <v>0.0</v>
      </c>
      <c r="Z66" s="108">
        <v>12.0</v>
      </c>
      <c r="AA66" s="110">
        <v>0.0</v>
      </c>
      <c r="AB66" s="32"/>
    </row>
    <row r="67" ht="14.25" customHeight="1">
      <c r="A67" s="31"/>
      <c r="B67" s="138"/>
      <c r="C67" s="148"/>
      <c r="D67" s="252"/>
      <c r="E67" s="253" t="str">
        <f t="shared" si="8"/>
        <v/>
      </c>
      <c r="F67" s="253" t="str">
        <f t="shared" si="9"/>
        <v/>
      </c>
      <c r="G67" s="253" t="str">
        <f t="shared" si="10"/>
        <v/>
      </c>
      <c r="H67" s="253" t="str">
        <f t="shared" si="11"/>
        <v/>
      </c>
      <c r="I67" s="253" t="str">
        <f t="shared" si="12"/>
        <v/>
      </c>
      <c r="J67" s="142"/>
      <c r="K67" s="142"/>
      <c r="L67" s="143"/>
      <c r="M67" s="144"/>
      <c r="N67" s="72"/>
      <c r="O67" s="31"/>
      <c r="P67" s="32"/>
      <c r="Q67" s="32"/>
      <c r="R67" s="32"/>
      <c r="S67" s="32"/>
      <c r="T67" s="32"/>
      <c r="U67" s="188" t="s">
        <v>157</v>
      </c>
      <c r="V67" s="101">
        <v>100.0</v>
      </c>
      <c r="W67" s="103">
        <v>206.0</v>
      </c>
      <c r="X67" s="104">
        <v>18.0</v>
      </c>
      <c r="Y67" s="105">
        <v>0.0</v>
      </c>
      <c r="Z67" s="108">
        <v>15.0</v>
      </c>
      <c r="AA67" s="110">
        <v>0.0</v>
      </c>
      <c r="AB67" s="32"/>
    </row>
    <row r="68" ht="14.25" customHeight="1">
      <c r="A68" s="31"/>
      <c r="B68" s="138"/>
      <c r="C68" s="148"/>
      <c r="D68" s="252"/>
      <c r="E68" s="253" t="str">
        <f t="shared" si="8"/>
        <v/>
      </c>
      <c r="F68" s="253" t="str">
        <f t="shared" si="9"/>
        <v/>
      </c>
      <c r="G68" s="253" t="str">
        <f t="shared" si="10"/>
        <v/>
      </c>
      <c r="H68" s="253" t="str">
        <f t="shared" si="11"/>
        <v/>
      </c>
      <c r="I68" s="253" t="str">
        <f t="shared" si="12"/>
        <v/>
      </c>
      <c r="J68" s="149" t="s">
        <v>53</v>
      </c>
      <c r="K68" s="150">
        <f>SUM(G66:G73)</f>
        <v>0</v>
      </c>
      <c r="L68" s="143"/>
      <c r="M68" s="144"/>
      <c r="N68" s="72"/>
      <c r="O68" s="31"/>
      <c r="P68" s="32"/>
      <c r="Q68" s="32"/>
      <c r="R68" s="32"/>
      <c r="S68" s="32"/>
      <c r="T68" s="32"/>
      <c r="U68" s="256" t="s">
        <v>158</v>
      </c>
      <c r="V68" s="257">
        <v>100.0</v>
      </c>
      <c r="W68" s="257">
        <v>539.0</v>
      </c>
      <c r="X68" s="257">
        <v>6.3</v>
      </c>
      <c r="Y68" s="257">
        <v>57.5</v>
      </c>
      <c r="Z68" s="257">
        <v>30.9</v>
      </c>
      <c r="AA68" s="258">
        <v>0.0</v>
      </c>
      <c r="AB68" s="32"/>
    </row>
    <row r="69" ht="14.25" customHeight="1">
      <c r="A69" s="31"/>
      <c r="B69" s="138"/>
      <c r="C69" s="148"/>
      <c r="D69" s="252"/>
      <c r="E69" s="253" t="str">
        <f t="shared" si="8"/>
        <v/>
      </c>
      <c r="F69" s="253" t="str">
        <f t="shared" si="9"/>
        <v/>
      </c>
      <c r="G69" s="253" t="str">
        <f t="shared" si="10"/>
        <v/>
      </c>
      <c r="H69" s="253" t="str">
        <f t="shared" si="11"/>
        <v/>
      </c>
      <c r="I69" s="253" t="str">
        <f t="shared" si="12"/>
        <v/>
      </c>
      <c r="J69" s="142"/>
      <c r="K69" s="142"/>
      <c r="L69" s="143"/>
      <c r="M69" s="144"/>
      <c r="N69" s="72"/>
      <c r="O69" s="31"/>
      <c r="P69" s="32"/>
      <c r="Q69" s="32"/>
      <c r="R69" s="32"/>
      <c r="S69" s="32"/>
      <c r="T69" s="32"/>
      <c r="U69" s="256" t="s">
        <v>159</v>
      </c>
      <c r="V69" s="257">
        <v>100.0</v>
      </c>
      <c r="W69" s="257">
        <v>727.0</v>
      </c>
      <c r="X69" s="257">
        <v>0.7</v>
      </c>
      <c r="Y69" s="257">
        <v>1.0</v>
      </c>
      <c r="Z69" s="257">
        <v>80.0</v>
      </c>
      <c r="AA69" s="258">
        <v>0.0</v>
      </c>
      <c r="AB69" s="32"/>
    </row>
    <row r="70" ht="14.25" customHeight="1">
      <c r="A70" s="31"/>
      <c r="B70" s="138"/>
      <c r="C70" s="148"/>
      <c r="D70" s="252"/>
      <c r="E70" s="253" t="str">
        <f t="shared" si="8"/>
        <v/>
      </c>
      <c r="F70" s="253" t="str">
        <f t="shared" si="9"/>
        <v/>
      </c>
      <c r="G70" s="253" t="str">
        <f t="shared" si="10"/>
        <v/>
      </c>
      <c r="H70" s="253" t="str">
        <f t="shared" si="11"/>
        <v/>
      </c>
      <c r="I70" s="253" t="str">
        <f t="shared" si="12"/>
        <v/>
      </c>
      <c r="J70" s="149" t="s">
        <v>54</v>
      </c>
      <c r="K70" s="150">
        <f>SUM(H66:H73)</f>
        <v>0</v>
      </c>
      <c r="L70" s="143"/>
      <c r="M70" s="144"/>
      <c r="N70" s="72"/>
      <c r="O70" s="31"/>
      <c r="P70" s="32"/>
      <c r="Q70" s="32"/>
      <c r="R70" s="32"/>
      <c r="S70" s="32"/>
      <c r="T70" s="32"/>
      <c r="U70" s="256" t="s">
        <v>160</v>
      </c>
      <c r="V70" s="257">
        <v>100.0</v>
      </c>
      <c r="W70" s="257">
        <v>389.0</v>
      </c>
      <c r="X70" s="257">
        <v>11.0</v>
      </c>
      <c r="Y70" s="257">
        <v>78.0</v>
      </c>
      <c r="Z70" s="257">
        <v>2.7</v>
      </c>
      <c r="AA70" s="258">
        <v>3.0</v>
      </c>
      <c r="AB70" s="32"/>
    </row>
    <row r="71" ht="14.25" customHeight="1">
      <c r="A71" s="31"/>
      <c r="B71" s="138"/>
      <c r="C71" s="148"/>
      <c r="D71" s="252"/>
      <c r="E71" s="253" t="str">
        <f t="shared" si="8"/>
        <v/>
      </c>
      <c r="F71" s="253" t="str">
        <f t="shared" si="9"/>
        <v/>
      </c>
      <c r="G71" s="253" t="str">
        <f t="shared" si="10"/>
        <v/>
      </c>
      <c r="H71" s="253" t="str">
        <f t="shared" si="11"/>
        <v/>
      </c>
      <c r="I71" s="253" t="str">
        <f t="shared" si="12"/>
        <v/>
      </c>
      <c r="J71" s="142"/>
      <c r="K71" s="142"/>
      <c r="L71" s="143"/>
      <c r="M71" s="144"/>
      <c r="N71" s="72"/>
      <c r="O71" s="31"/>
      <c r="P71" s="32"/>
      <c r="Q71" s="32"/>
      <c r="R71" s="32"/>
      <c r="S71" s="32"/>
      <c r="T71" s="32"/>
      <c r="U71" s="256" t="s">
        <v>161</v>
      </c>
      <c r="V71" s="257">
        <v>100.0</v>
      </c>
      <c r="W71" s="257">
        <v>70.0</v>
      </c>
      <c r="X71" s="257">
        <v>0.7</v>
      </c>
      <c r="Y71" s="257">
        <v>15.0</v>
      </c>
      <c r="Z71" s="257">
        <v>0.2</v>
      </c>
      <c r="AA71" s="258">
        <v>3.6</v>
      </c>
      <c r="AB71" s="32"/>
    </row>
    <row r="72" ht="14.25" customHeight="1">
      <c r="A72" s="31"/>
      <c r="B72" s="138"/>
      <c r="C72" s="148"/>
      <c r="D72" s="252"/>
      <c r="E72" s="253" t="str">
        <f t="shared" si="8"/>
        <v/>
      </c>
      <c r="F72" s="253" t="str">
        <f t="shared" si="9"/>
        <v/>
      </c>
      <c r="G72" s="253" t="str">
        <f t="shared" si="10"/>
        <v/>
      </c>
      <c r="H72" s="253" t="str">
        <f t="shared" si="11"/>
        <v/>
      </c>
      <c r="I72" s="253" t="str">
        <f t="shared" si="12"/>
        <v/>
      </c>
      <c r="J72" s="149" t="s">
        <v>55</v>
      </c>
      <c r="K72" s="150">
        <f>SUM(I66:I73)</f>
        <v>0</v>
      </c>
      <c r="L72" s="143"/>
      <c r="M72" s="144"/>
      <c r="N72" s="72"/>
      <c r="O72" s="31"/>
      <c r="P72" s="32"/>
      <c r="Q72" s="32"/>
      <c r="R72" s="32"/>
      <c r="S72" s="32"/>
      <c r="T72" s="32"/>
      <c r="U72" s="256" t="s">
        <v>162</v>
      </c>
      <c r="V72" s="257">
        <v>100.0</v>
      </c>
      <c r="W72" s="257">
        <v>169.0</v>
      </c>
      <c r="X72" s="257">
        <v>2.0</v>
      </c>
      <c r="Y72" s="257">
        <v>8.0</v>
      </c>
      <c r="Z72" s="257">
        <v>15.0</v>
      </c>
      <c r="AA72" s="258">
        <v>6.0</v>
      </c>
      <c r="AB72" s="32"/>
    </row>
    <row r="73" ht="14.25" customHeight="1">
      <c r="A73" s="31"/>
      <c r="B73" s="171"/>
      <c r="C73" s="172"/>
      <c r="D73" s="254"/>
      <c r="E73" s="255" t="str">
        <f t="shared" si="8"/>
        <v/>
      </c>
      <c r="F73" s="255" t="str">
        <f t="shared" si="9"/>
        <v/>
      </c>
      <c r="G73" s="255" t="str">
        <f t="shared" si="10"/>
        <v/>
      </c>
      <c r="H73" s="255" t="str">
        <f t="shared" si="11"/>
        <v/>
      </c>
      <c r="I73" s="255" t="str">
        <f t="shared" si="12"/>
        <v/>
      </c>
      <c r="J73" s="175"/>
      <c r="K73" s="175"/>
      <c r="L73" s="175"/>
      <c r="M73" s="176"/>
      <c r="N73" s="72"/>
      <c r="O73" s="31"/>
      <c r="P73" s="32"/>
      <c r="Q73" s="32"/>
      <c r="R73" s="32"/>
      <c r="S73" s="32"/>
      <c r="T73" s="32"/>
      <c r="U73" s="256" t="s">
        <v>163</v>
      </c>
      <c r="V73" s="257">
        <v>100.0</v>
      </c>
      <c r="W73" s="257">
        <v>291.0</v>
      </c>
      <c r="X73" s="257">
        <v>20.0</v>
      </c>
      <c r="Y73" s="257">
        <v>1.0</v>
      </c>
      <c r="Z73" s="257">
        <v>23.0</v>
      </c>
      <c r="AA73" s="258">
        <v>0.0</v>
      </c>
      <c r="AB73" s="32"/>
    </row>
    <row r="74" ht="14.25" customHeight="1">
      <c r="A74" s="31"/>
      <c r="B74" s="116" t="s">
        <v>96</v>
      </c>
      <c r="C74" s="177"/>
      <c r="D74" s="248"/>
      <c r="E74" s="249" t="str">
        <f t="shared" si="8"/>
        <v/>
      </c>
      <c r="F74" s="249" t="str">
        <f t="shared" si="9"/>
        <v/>
      </c>
      <c r="G74" s="249" t="str">
        <f t="shared" si="10"/>
        <v/>
      </c>
      <c r="H74" s="249" t="str">
        <f t="shared" si="11"/>
        <v/>
      </c>
      <c r="I74" s="249" t="str">
        <f t="shared" si="12"/>
        <v/>
      </c>
      <c r="J74" s="133" t="s">
        <v>52</v>
      </c>
      <c r="K74" s="134">
        <f>SUM(F74:F81)</f>
        <v>0</v>
      </c>
      <c r="L74" s="134">
        <f>SUM(E74:E81)</f>
        <v>0</v>
      </c>
      <c r="M74" s="136"/>
      <c r="N74" s="72"/>
      <c r="O74" s="31"/>
      <c r="P74" s="32"/>
      <c r="Q74" s="32"/>
      <c r="R74" s="32"/>
      <c r="S74" s="32"/>
      <c r="T74" s="32"/>
      <c r="U74" s="256" t="s">
        <v>164</v>
      </c>
      <c r="V74" s="257">
        <v>100.0</v>
      </c>
      <c r="W74" s="257">
        <v>386.0</v>
      </c>
      <c r="X74" s="257">
        <v>8.6</v>
      </c>
      <c r="Y74" s="257">
        <v>68.6</v>
      </c>
      <c r="Z74" s="257">
        <v>7.1</v>
      </c>
      <c r="AA74" s="258">
        <v>4.3</v>
      </c>
      <c r="AB74" s="32"/>
    </row>
    <row r="75" ht="14.25" customHeight="1">
      <c r="A75" s="31"/>
      <c r="B75" s="138"/>
      <c r="C75" s="148"/>
      <c r="D75" s="252"/>
      <c r="E75" s="253" t="str">
        <f t="shared" si="8"/>
        <v/>
      </c>
      <c r="F75" s="253" t="str">
        <f t="shared" si="9"/>
        <v/>
      </c>
      <c r="G75" s="253" t="str">
        <f t="shared" si="10"/>
        <v/>
      </c>
      <c r="H75" s="253" t="str">
        <f t="shared" si="11"/>
        <v/>
      </c>
      <c r="I75" s="253" t="str">
        <f t="shared" si="12"/>
        <v/>
      </c>
      <c r="J75" s="142"/>
      <c r="K75" s="142"/>
      <c r="L75" s="143"/>
      <c r="M75" s="144"/>
      <c r="N75" s="72"/>
      <c r="O75" s="31"/>
      <c r="P75" s="32"/>
      <c r="Q75" s="32"/>
      <c r="R75" s="32"/>
      <c r="S75" s="32"/>
      <c r="T75" s="32"/>
      <c r="U75" s="256" t="s">
        <v>165</v>
      </c>
      <c r="V75" s="257">
        <v>100.0</v>
      </c>
      <c r="W75" s="257">
        <v>566.0</v>
      </c>
      <c r="X75" s="257">
        <v>9.5</v>
      </c>
      <c r="Y75" s="257">
        <v>35.0</v>
      </c>
      <c r="Z75" s="257">
        <v>41.0</v>
      </c>
      <c r="AA75" s="258">
        <v>12.0</v>
      </c>
      <c r="AB75" s="32"/>
    </row>
    <row r="76" ht="14.25" customHeight="1">
      <c r="A76" s="31"/>
      <c r="B76" s="138"/>
      <c r="C76" s="148"/>
      <c r="D76" s="252"/>
      <c r="E76" s="253" t="str">
        <f t="shared" si="8"/>
        <v/>
      </c>
      <c r="F76" s="253" t="str">
        <f t="shared" si="9"/>
        <v/>
      </c>
      <c r="G76" s="253" t="str">
        <f t="shared" si="10"/>
        <v/>
      </c>
      <c r="H76" s="253" t="str">
        <f t="shared" si="11"/>
        <v/>
      </c>
      <c r="I76" s="253" t="str">
        <f t="shared" si="12"/>
        <v/>
      </c>
      <c r="J76" s="149" t="s">
        <v>53</v>
      </c>
      <c r="K76" s="150">
        <f>SUM(G74:G81)</f>
        <v>0</v>
      </c>
      <c r="L76" s="143"/>
      <c r="M76" s="144"/>
      <c r="N76" s="72"/>
      <c r="O76" s="31"/>
      <c r="P76" s="32"/>
      <c r="Q76" s="32"/>
      <c r="R76" s="32"/>
      <c r="S76" s="32"/>
      <c r="T76" s="32"/>
      <c r="U76" s="256" t="s">
        <v>166</v>
      </c>
      <c r="V76" s="257">
        <v>100.0</v>
      </c>
      <c r="W76" s="257">
        <v>584.0</v>
      </c>
      <c r="X76" s="257">
        <v>12.5</v>
      </c>
      <c r="Y76" s="257">
        <v>22.0</v>
      </c>
      <c r="Z76" s="257">
        <v>46.0</v>
      </c>
      <c r="AA76" s="258">
        <v>17.0</v>
      </c>
      <c r="AB76" s="32"/>
    </row>
    <row r="77" ht="14.25" customHeight="1">
      <c r="A77" s="31"/>
      <c r="B77" s="138"/>
      <c r="C77" s="148"/>
      <c r="D77" s="252"/>
      <c r="E77" s="253" t="str">
        <f t="shared" si="8"/>
        <v/>
      </c>
      <c r="F77" s="253" t="str">
        <f t="shared" si="9"/>
        <v/>
      </c>
      <c r="G77" s="253" t="str">
        <f t="shared" si="10"/>
        <v/>
      </c>
      <c r="H77" s="253" t="str">
        <f t="shared" si="11"/>
        <v/>
      </c>
      <c r="I77" s="253" t="str">
        <f t="shared" si="12"/>
        <v/>
      </c>
      <c r="J77" s="142"/>
      <c r="K77" s="142"/>
      <c r="L77" s="143"/>
      <c r="M77" s="144"/>
      <c r="N77" s="72"/>
      <c r="O77" s="31"/>
      <c r="P77" s="32"/>
      <c r="Q77" s="32"/>
      <c r="R77" s="32"/>
      <c r="S77" s="32"/>
      <c r="T77" s="32"/>
      <c r="U77" s="256" t="s">
        <v>167</v>
      </c>
      <c r="V77" s="257">
        <v>100.0</v>
      </c>
      <c r="W77" s="257">
        <v>530.0</v>
      </c>
      <c r="X77" s="257">
        <v>6.0</v>
      </c>
      <c r="Y77" s="257">
        <v>54.3</v>
      </c>
      <c r="Z77" s="257">
        <v>28.0</v>
      </c>
      <c r="AA77" s="258">
        <v>8.0</v>
      </c>
      <c r="AB77" s="32"/>
    </row>
    <row r="78" ht="14.25" customHeight="1">
      <c r="A78" s="31"/>
      <c r="B78" s="138"/>
      <c r="C78" s="148"/>
      <c r="D78" s="252"/>
      <c r="E78" s="253" t="str">
        <f t="shared" si="8"/>
        <v/>
      </c>
      <c r="F78" s="253" t="str">
        <f t="shared" si="9"/>
        <v/>
      </c>
      <c r="G78" s="253" t="str">
        <f t="shared" si="10"/>
        <v/>
      </c>
      <c r="H78" s="253" t="str">
        <f t="shared" si="11"/>
        <v/>
      </c>
      <c r="I78" s="253" t="str">
        <f t="shared" si="12"/>
        <v/>
      </c>
      <c r="J78" s="149" t="s">
        <v>54</v>
      </c>
      <c r="K78" s="150">
        <f>SUM(H74:H81)</f>
        <v>0</v>
      </c>
      <c r="L78" s="143"/>
      <c r="M78" s="144"/>
      <c r="N78" s="72"/>
      <c r="O78" s="31"/>
      <c r="P78" s="32"/>
      <c r="Q78" s="32"/>
      <c r="R78" s="32"/>
      <c r="S78" s="32"/>
      <c r="T78" s="32"/>
      <c r="U78" s="259" t="s">
        <v>168</v>
      </c>
      <c r="V78" s="260">
        <v>100.0</v>
      </c>
      <c r="W78" s="260">
        <v>12.0</v>
      </c>
      <c r="X78" s="260">
        <v>0.6</v>
      </c>
      <c r="Y78" s="260">
        <v>2.2</v>
      </c>
      <c r="Z78" s="260">
        <v>0.2</v>
      </c>
      <c r="AA78" s="261">
        <v>0.7</v>
      </c>
      <c r="AB78" s="32"/>
    </row>
    <row r="79" ht="14.25" customHeight="1">
      <c r="A79" s="31"/>
      <c r="B79" s="138"/>
      <c r="C79" s="148"/>
      <c r="D79" s="252"/>
      <c r="E79" s="253" t="str">
        <f t="shared" si="8"/>
        <v/>
      </c>
      <c r="F79" s="253" t="str">
        <f t="shared" si="9"/>
        <v/>
      </c>
      <c r="G79" s="253" t="str">
        <f t="shared" si="10"/>
        <v/>
      </c>
      <c r="H79" s="253" t="str">
        <f t="shared" si="11"/>
        <v/>
      </c>
      <c r="I79" s="253" t="str">
        <f t="shared" si="12"/>
        <v/>
      </c>
      <c r="J79" s="142"/>
      <c r="K79" s="142"/>
      <c r="L79" s="143"/>
      <c r="M79" s="144"/>
      <c r="N79" s="72"/>
      <c r="O79" s="31"/>
      <c r="P79" s="32"/>
      <c r="Q79" s="32"/>
      <c r="R79" s="32"/>
      <c r="S79" s="32"/>
      <c r="T79" s="32"/>
      <c r="U79" s="259" t="s">
        <v>169</v>
      </c>
      <c r="V79" s="260">
        <v>100.0</v>
      </c>
      <c r="W79" s="260">
        <v>210.0</v>
      </c>
      <c r="X79" s="260">
        <v>1.2</v>
      </c>
      <c r="Y79" s="260">
        <v>49.0</v>
      </c>
      <c r="Z79" s="260">
        <v>0.0</v>
      </c>
      <c r="AA79" s="261">
        <v>0.0</v>
      </c>
      <c r="AB79" s="32"/>
    </row>
    <row r="80" ht="14.25" customHeight="1">
      <c r="A80" s="31"/>
      <c r="B80" s="138"/>
      <c r="C80" s="148"/>
      <c r="D80" s="252"/>
      <c r="E80" s="253" t="str">
        <f t="shared" si="8"/>
        <v/>
      </c>
      <c r="F80" s="253" t="str">
        <f t="shared" si="9"/>
        <v/>
      </c>
      <c r="G80" s="253" t="str">
        <f t="shared" si="10"/>
        <v/>
      </c>
      <c r="H80" s="253" t="str">
        <f t="shared" si="11"/>
        <v/>
      </c>
      <c r="I80" s="253" t="str">
        <f t="shared" si="12"/>
        <v/>
      </c>
      <c r="J80" s="149" t="s">
        <v>55</v>
      </c>
      <c r="K80" s="150">
        <f>SUM(I74:I81)</f>
        <v>0</v>
      </c>
      <c r="L80" s="143"/>
      <c r="M80" s="144"/>
      <c r="N80" s="72"/>
      <c r="O80" s="31"/>
      <c r="P80" s="32"/>
      <c r="Q80" s="32"/>
      <c r="R80" s="32"/>
      <c r="S80" s="32"/>
      <c r="T80" s="32"/>
      <c r="U80" s="259" t="s">
        <v>170</v>
      </c>
      <c r="V80" s="260">
        <v>100.0</v>
      </c>
      <c r="W80" s="260">
        <v>297.0</v>
      </c>
      <c r="X80" s="260">
        <v>12.0</v>
      </c>
      <c r="Y80" s="260">
        <v>37.0</v>
      </c>
      <c r="Z80" s="260">
        <v>9.6</v>
      </c>
      <c r="AA80" s="261">
        <v>7.2</v>
      </c>
      <c r="AB80" s="32"/>
    </row>
    <row r="81" ht="14.25" customHeight="1">
      <c r="A81" s="31"/>
      <c r="B81" s="171"/>
      <c r="C81" s="172"/>
      <c r="D81" s="254"/>
      <c r="E81" s="255" t="str">
        <f t="shared" si="8"/>
        <v/>
      </c>
      <c r="F81" s="255" t="str">
        <f t="shared" si="9"/>
        <v/>
      </c>
      <c r="G81" s="255" t="str">
        <f t="shared" si="10"/>
        <v/>
      </c>
      <c r="H81" s="255" t="str">
        <f t="shared" si="11"/>
        <v/>
      </c>
      <c r="I81" s="255" t="str">
        <f t="shared" si="12"/>
        <v/>
      </c>
      <c r="J81" s="175"/>
      <c r="K81" s="175"/>
      <c r="L81" s="175"/>
      <c r="M81" s="176"/>
      <c r="N81" s="72"/>
      <c r="O81" s="31"/>
      <c r="P81" s="32"/>
      <c r="Q81" s="32"/>
      <c r="R81" s="32"/>
      <c r="S81" s="32"/>
      <c r="T81" s="32"/>
      <c r="U81" s="259" t="s">
        <v>171</v>
      </c>
      <c r="V81" s="260">
        <v>100.0</v>
      </c>
      <c r="W81" s="260">
        <v>262.0</v>
      </c>
      <c r="X81" s="260">
        <v>29.5</v>
      </c>
      <c r="Y81" s="260">
        <v>0.1</v>
      </c>
      <c r="Z81" s="260">
        <v>16.0</v>
      </c>
      <c r="AA81" s="261">
        <v>0.0</v>
      </c>
      <c r="AB81" s="32"/>
    </row>
    <row r="82" ht="14.25" customHeight="1">
      <c r="A82" s="31"/>
      <c r="B82" s="116" t="s">
        <v>105</v>
      </c>
      <c r="C82" s="177"/>
      <c r="D82" s="248"/>
      <c r="E82" s="249" t="str">
        <f t="shared" si="8"/>
        <v/>
      </c>
      <c r="F82" s="249" t="str">
        <f t="shared" si="9"/>
        <v/>
      </c>
      <c r="G82" s="249" t="str">
        <f t="shared" si="10"/>
        <v/>
      </c>
      <c r="H82" s="249" t="str">
        <f t="shared" si="11"/>
        <v/>
      </c>
      <c r="I82" s="249" t="str">
        <f t="shared" si="12"/>
        <v/>
      </c>
      <c r="J82" s="133" t="s">
        <v>52</v>
      </c>
      <c r="K82" s="134">
        <f>SUM(F82:F89)</f>
        <v>0</v>
      </c>
      <c r="L82" s="134">
        <f>SUM(E82:E89)</f>
        <v>0</v>
      </c>
      <c r="M82" s="136"/>
      <c r="N82" s="72"/>
      <c r="O82" s="31"/>
      <c r="P82" s="32"/>
      <c r="Q82" s="32"/>
      <c r="R82" s="32"/>
      <c r="S82" s="32"/>
      <c r="T82" s="32"/>
      <c r="U82" s="259" t="s">
        <v>172</v>
      </c>
      <c r="V82" s="260">
        <v>100.0</v>
      </c>
      <c r="W82" s="260">
        <v>16.0</v>
      </c>
      <c r="X82" s="260">
        <v>1.1</v>
      </c>
      <c r="Y82" s="260">
        <v>2.0</v>
      </c>
      <c r="Z82" s="260">
        <v>0.1</v>
      </c>
      <c r="AA82" s="261">
        <v>1.2</v>
      </c>
      <c r="AB82" s="32"/>
    </row>
    <row r="83" ht="14.25" customHeight="1">
      <c r="A83" s="31"/>
      <c r="B83" s="138"/>
      <c r="C83" s="148"/>
      <c r="D83" s="252"/>
      <c r="E83" s="253" t="str">
        <f t="shared" si="8"/>
        <v/>
      </c>
      <c r="F83" s="253" t="str">
        <f t="shared" si="9"/>
        <v/>
      </c>
      <c r="G83" s="253" t="str">
        <f t="shared" si="10"/>
        <v/>
      </c>
      <c r="H83" s="253" t="str">
        <f t="shared" si="11"/>
        <v/>
      </c>
      <c r="I83" s="253" t="str">
        <f t="shared" si="12"/>
        <v/>
      </c>
      <c r="J83" s="142"/>
      <c r="K83" s="142"/>
      <c r="L83" s="143"/>
      <c r="M83" s="144"/>
      <c r="N83" s="72"/>
      <c r="O83" s="31"/>
      <c r="P83" s="32"/>
      <c r="Q83" s="32"/>
      <c r="R83" s="32"/>
      <c r="S83" s="32"/>
      <c r="T83" s="32"/>
      <c r="U83" s="259" t="s">
        <v>173</v>
      </c>
      <c r="V83" s="260">
        <v>100.0</v>
      </c>
      <c r="W83" s="260">
        <v>85.0</v>
      </c>
      <c r="X83" s="260">
        <v>16.0</v>
      </c>
      <c r="Y83" s="260">
        <v>4.4</v>
      </c>
      <c r="Z83" s="260">
        <v>0.4</v>
      </c>
      <c r="AA83" s="261">
        <v>0.0</v>
      </c>
      <c r="AB83" s="32"/>
    </row>
    <row r="84" ht="14.25" customHeight="1">
      <c r="A84" s="31"/>
      <c r="B84" s="138"/>
      <c r="C84" s="148"/>
      <c r="D84" s="252"/>
      <c r="E84" s="253" t="str">
        <f t="shared" si="8"/>
        <v/>
      </c>
      <c r="F84" s="253" t="str">
        <f t="shared" si="9"/>
        <v/>
      </c>
      <c r="G84" s="253" t="str">
        <f t="shared" si="10"/>
        <v/>
      </c>
      <c r="H84" s="253" t="str">
        <f t="shared" si="11"/>
        <v/>
      </c>
      <c r="I84" s="253" t="str">
        <f t="shared" si="12"/>
        <v/>
      </c>
      <c r="J84" s="149" t="s">
        <v>53</v>
      </c>
      <c r="K84" s="150">
        <f>SUM(G82:G89)</f>
        <v>0</v>
      </c>
      <c r="L84" s="143"/>
      <c r="M84" s="144"/>
      <c r="N84" s="72"/>
      <c r="O84" s="31"/>
      <c r="P84" s="32"/>
      <c r="Q84" s="32"/>
      <c r="R84" s="32"/>
      <c r="S84" s="32"/>
      <c r="T84" s="32"/>
      <c r="U84" s="259" t="s">
        <v>174</v>
      </c>
      <c r="V84" s="260">
        <v>100.0</v>
      </c>
      <c r="W84" s="260">
        <v>25.0</v>
      </c>
      <c r="X84" s="260">
        <v>0.4</v>
      </c>
      <c r="Y84" s="260">
        <v>1.5</v>
      </c>
      <c r="Z84" s="260">
        <v>0.5</v>
      </c>
      <c r="AA84" s="261">
        <v>0.5</v>
      </c>
      <c r="AB84" s="32"/>
    </row>
    <row r="85" ht="14.25" customHeight="1">
      <c r="A85" s="31"/>
      <c r="B85" s="138"/>
      <c r="C85" s="148"/>
      <c r="D85" s="252"/>
      <c r="E85" s="253" t="str">
        <f t="shared" si="8"/>
        <v/>
      </c>
      <c r="F85" s="253" t="str">
        <f t="shared" si="9"/>
        <v/>
      </c>
      <c r="G85" s="253" t="str">
        <f t="shared" si="10"/>
        <v/>
      </c>
      <c r="H85" s="253" t="str">
        <f t="shared" si="11"/>
        <v/>
      </c>
      <c r="I85" s="253" t="str">
        <f t="shared" si="12"/>
        <v/>
      </c>
      <c r="J85" s="142"/>
      <c r="K85" s="142"/>
      <c r="L85" s="143"/>
      <c r="M85" s="144"/>
      <c r="N85" s="72"/>
      <c r="O85" s="31"/>
      <c r="P85" s="32"/>
      <c r="Q85" s="32"/>
      <c r="R85" s="32"/>
      <c r="S85" s="32"/>
      <c r="T85" s="32"/>
      <c r="U85" s="259" t="s">
        <v>175</v>
      </c>
      <c r="V85" s="260">
        <v>100.0</v>
      </c>
      <c r="W85" s="260">
        <v>270.0</v>
      </c>
      <c r="X85" s="260">
        <v>16.4</v>
      </c>
      <c r="Y85" s="260">
        <v>0.4</v>
      </c>
      <c r="Z85" s="260">
        <v>22.5</v>
      </c>
      <c r="AA85" s="261">
        <v>0.0</v>
      </c>
      <c r="AB85" s="32"/>
    </row>
    <row r="86" ht="14.25" customHeight="1">
      <c r="A86" s="31"/>
      <c r="B86" s="138"/>
      <c r="C86" s="148"/>
      <c r="D86" s="252"/>
      <c r="E86" s="253" t="str">
        <f t="shared" si="8"/>
        <v/>
      </c>
      <c r="F86" s="253" t="str">
        <f t="shared" si="9"/>
        <v/>
      </c>
      <c r="G86" s="253" t="str">
        <f t="shared" si="10"/>
        <v/>
      </c>
      <c r="H86" s="253" t="str">
        <f t="shared" si="11"/>
        <v/>
      </c>
      <c r="I86" s="253" t="str">
        <f t="shared" si="12"/>
        <v/>
      </c>
      <c r="J86" s="149" t="s">
        <v>54</v>
      </c>
      <c r="K86" s="150">
        <f>SUM(H82:H89)</f>
        <v>0</v>
      </c>
      <c r="L86" s="143"/>
      <c r="M86" s="144"/>
      <c r="N86" s="72"/>
      <c r="O86" s="31"/>
      <c r="P86" s="32"/>
      <c r="Q86" s="32"/>
      <c r="R86" s="32"/>
      <c r="S86" s="32"/>
      <c r="T86" s="32"/>
      <c r="U86" s="259" t="s">
        <v>176</v>
      </c>
      <c r="V86" s="260">
        <v>100.0</v>
      </c>
      <c r="W86" s="260">
        <v>154.0</v>
      </c>
      <c r="X86" s="260">
        <v>1.6</v>
      </c>
      <c r="Y86" s="260">
        <v>0.0</v>
      </c>
      <c r="Z86" s="260">
        <v>15.0</v>
      </c>
      <c r="AA86" s="261">
        <v>6.4</v>
      </c>
      <c r="AB86" s="32"/>
    </row>
    <row r="87" ht="14.25" customHeight="1">
      <c r="A87" s="31"/>
      <c r="B87" s="138"/>
      <c r="C87" s="148"/>
      <c r="D87" s="252"/>
      <c r="E87" s="253" t="str">
        <f t="shared" si="8"/>
        <v/>
      </c>
      <c r="F87" s="253" t="str">
        <f t="shared" si="9"/>
        <v/>
      </c>
      <c r="G87" s="253" t="str">
        <f t="shared" si="10"/>
        <v/>
      </c>
      <c r="H87" s="253" t="str">
        <f t="shared" si="11"/>
        <v/>
      </c>
      <c r="I87" s="253" t="str">
        <f t="shared" si="12"/>
        <v/>
      </c>
      <c r="J87" s="142"/>
      <c r="K87" s="142"/>
      <c r="L87" s="143"/>
      <c r="M87" s="144"/>
      <c r="N87" s="72"/>
      <c r="O87" s="31"/>
      <c r="P87" s="32"/>
      <c r="Q87" s="32"/>
      <c r="R87" s="32"/>
      <c r="S87" s="32"/>
      <c r="T87" s="32"/>
      <c r="U87" s="259" t="s">
        <v>177</v>
      </c>
      <c r="V87" s="260">
        <v>100.0</v>
      </c>
      <c r="W87" s="260">
        <v>118.0</v>
      </c>
      <c r="X87" s="260">
        <v>23.0</v>
      </c>
      <c r="Y87" s="260">
        <v>0.5</v>
      </c>
      <c r="Z87" s="260">
        <v>2.7</v>
      </c>
      <c r="AA87" s="261">
        <v>0.0</v>
      </c>
      <c r="AB87" s="32"/>
    </row>
    <row r="88" ht="14.25" customHeight="1">
      <c r="A88" s="31"/>
      <c r="B88" s="138"/>
      <c r="C88" s="148"/>
      <c r="D88" s="252"/>
      <c r="E88" s="253" t="str">
        <f t="shared" si="8"/>
        <v/>
      </c>
      <c r="F88" s="253" t="str">
        <f t="shared" si="9"/>
        <v/>
      </c>
      <c r="G88" s="253" t="str">
        <f t="shared" si="10"/>
        <v/>
      </c>
      <c r="H88" s="253" t="str">
        <f t="shared" si="11"/>
        <v/>
      </c>
      <c r="I88" s="253" t="str">
        <f t="shared" si="12"/>
        <v/>
      </c>
      <c r="J88" s="149" t="s">
        <v>55</v>
      </c>
      <c r="K88" s="150">
        <f>SUM(I82:I89)</f>
        <v>0</v>
      </c>
      <c r="L88" s="143"/>
      <c r="M88" s="144"/>
      <c r="N88" s="72"/>
      <c r="O88" s="31"/>
      <c r="P88" s="32"/>
      <c r="Q88" s="32"/>
      <c r="R88" s="32"/>
      <c r="S88" s="32"/>
      <c r="T88" s="32"/>
      <c r="U88" s="263" t="s">
        <v>178</v>
      </c>
      <c r="V88" s="264">
        <v>100.0</v>
      </c>
      <c r="W88" s="264">
        <v>47.0</v>
      </c>
      <c r="X88" s="264">
        <v>0.9</v>
      </c>
      <c r="Y88" s="264">
        <v>12.0</v>
      </c>
      <c r="Z88" s="264">
        <v>0.2</v>
      </c>
      <c r="AA88" s="265">
        <v>2.5</v>
      </c>
      <c r="AB88" s="32"/>
    </row>
    <row r="89" ht="14.25" customHeight="1">
      <c r="A89" s="192"/>
      <c r="B89" s="171"/>
      <c r="C89" s="172"/>
      <c r="D89" s="254"/>
      <c r="E89" s="255" t="str">
        <f t="shared" si="8"/>
        <v/>
      </c>
      <c r="F89" s="255" t="str">
        <f t="shared" si="9"/>
        <v/>
      </c>
      <c r="G89" s="255" t="str">
        <f t="shared" si="10"/>
        <v/>
      </c>
      <c r="H89" s="255" t="str">
        <f t="shared" si="11"/>
        <v/>
      </c>
      <c r="I89" s="255" t="str">
        <f t="shared" si="12"/>
        <v/>
      </c>
      <c r="J89" s="175"/>
      <c r="K89" s="175"/>
      <c r="L89" s="175"/>
      <c r="M89" s="176"/>
      <c r="N89" s="193"/>
      <c r="O89" s="31"/>
      <c r="P89" s="32"/>
      <c r="Q89" s="32"/>
      <c r="R89" s="32"/>
      <c r="S89" s="32"/>
      <c r="T89" s="32"/>
      <c r="U89" s="266" t="s">
        <v>179</v>
      </c>
      <c r="V89" s="266">
        <v>100.0</v>
      </c>
      <c r="W89" s="266">
        <v>420.0</v>
      </c>
      <c r="X89" s="266">
        <v>10.0</v>
      </c>
      <c r="Y89" s="266">
        <v>62.0</v>
      </c>
      <c r="Z89" s="266">
        <v>13.0</v>
      </c>
      <c r="AA89" s="266">
        <v>7.5</v>
      </c>
      <c r="AB89" s="32"/>
    </row>
    <row r="90" ht="14.25" customHeight="1">
      <c r="A90" s="32"/>
      <c r="B90" s="267"/>
      <c r="C90" s="267"/>
      <c r="D90" s="268"/>
      <c r="E90" s="269"/>
      <c r="F90" s="269"/>
      <c r="G90" s="270"/>
      <c r="H90" s="270"/>
      <c r="I90" s="270"/>
      <c r="J90" s="179"/>
      <c r="K90" s="271"/>
      <c r="L90" s="271"/>
      <c r="M90" s="179"/>
      <c r="N90" s="219"/>
      <c r="O90" s="272"/>
      <c r="P90" s="32"/>
      <c r="Q90" s="32"/>
      <c r="R90" s="32"/>
      <c r="S90" s="32"/>
      <c r="T90" s="32"/>
      <c r="U90" s="273" t="s">
        <v>120</v>
      </c>
      <c r="V90" s="273">
        <v>100.0</v>
      </c>
      <c r="W90" s="273">
        <v>25.0</v>
      </c>
      <c r="X90" s="273">
        <v>2.0</v>
      </c>
      <c r="Y90" s="273">
        <v>5.3</v>
      </c>
      <c r="Z90" s="273">
        <v>0.1</v>
      </c>
      <c r="AA90" s="273">
        <v>2.5</v>
      </c>
      <c r="AB90" s="32"/>
    </row>
    <row r="91" ht="14.25" customHeight="1">
      <c r="A91" s="32"/>
      <c r="B91" s="274"/>
      <c r="C91" s="274"/>
      <c r="D91" s="275"/>
      <c r="E91" s="276"/>
      <c r="F91" s="276"/>
      <c r="G91" s="277"/>
      <c r="H91" s="277"/>
      <c r="I91" s="277"/>
      <c r="J91" s="32"/>
      <c r="K91" s="278"/>
      <c r="L91" s="278"/>
      <c r="M91" s="32"/>
      <c r="N91" s="219"/>
      <c r="O91" s="272"/>
      <c r="P91" s="32"/>
      <c r="Q91" s="32"/>
      <c r="R91" s="32"/>
      <c r="S91" s="32"/>
      <c r="T91" s="32"/>
      <c r="U91" s="279" t="s">
        <v>180</v>
      </c>
      <c r="V91" s="279">
        <v>100.0</v>
      </c>
      <c r="W91" s="279">
        <v>621.0</v>
      </c>
      <c r="X91" s="279">
        <v>24.5</v>
      </c>
      <c r="Y91" s="279">
        <v>4.8</v>
      </c>
      <c r="Z91" s="279">
        <v>53.3</v>
      </c>
      <c r="AA91" s="279">
        <v>12.1</v>
      </c>
      <c r="AB91" s="32"/>
    </row>
    <row r="92" ht="14.25" customHeight="1">
      <c r="A92" s="32"/>
      <c r="B92" s="274"/>
      <c r="C92" s="274"/>
      <c r="D92" s="275"/>
      <c r="E92" s="276"/>
      <c r="F92" s="276"/>
      <c r="G92" s="277"/>
      <c r="H92" s="277"/>
      <c r="I92" s="277"/>
      <c r="J92" s="32"/>
      <c r="K92" s="278"/>
      <c r="L92" s="278"/>
      <c r="M92" s="32"/>
      <c r="N92" s="219"/>
      <c r="O92" s="272"/>
      <c r="P92" s="32"/>
      <c r="Q92" s="32"/>
      <c r="R92" s="32"/>
      <c r="S92" s="32"/>
      <c r="T92" s="32"/>
      <c r="U92" s="279" t="s">
        <v>181</v>
      </c>
      <c r="V92" s="279">
        <v>100.0</v>
      </c>
      <c r="W92" s="279">
        <v>688.0</v>
      </c>
      <c r="X92" s="279">
        <v>14.7</v>
      </c>
      <c r="Y92" s="279">
        <v>10.8</v>
      </c>
      <c r="Z92" s="279">
        <v>63.8</v>
      </c>
      <c r="AA92" s="279">
        <v>5.7</v>
      </c>
      <c r="AB92" s="32"/>
    </row>
    <row r="93" ht="14.25" customHeight="1">
      <c r="A93" s="32"/>
      <c r="B93" s="274"/>
      <c r="C93" s="274"/>
      <c r="D93" s="275"/>
      <c r="E93" s="276"/>
      <c r="F93" s="276"/>
      <c r="G93" s="277"/>
      <c r="H93" s="277"/>
      <c r="I93" s="277"/>
      <c r="J93" s="32"/>
      <c r="K93" s="278"/>
      <c r="L93" s="278"/>
      <c r="M93" s="32"/>
      <c r="N93" s="219"/>
      <c r="O93" s="272"/>
      <c r="P93" s="32"/>
      <c r="Q93" s="32"/>
      <c r="R93" s="32"/>
      <c r="S93" s="32"/>
      <c r="T93" s="32"/>
      <c r="U93" s="279" t="s">
        <v>182</v>
      </c>
      <c r="V93" s="279">
        <v>100.0</v>
      </c>
      <c r="W93" s="279">
        <v>613.0</v>
      </c>
      <c r="X93" s="279">
        <v>19.0</v>
      </c>
      <c r="Y93" s="279">
        <v>22.0</v>
      </c>
      <c r="Z93" s="279">
        <v>49.0</v>
      </c>
      <c r="AA93" s="279">
        <v>3.9</v>
      </c>
      <c r="AB93" s="32"/>
    </row>
    <row r="94" ht="14.25" customHeight="1">
      <c r="A94" s="32"/>
      <c r="B94" s="274"/>
      <c r="C94" s="274"/>
      <c r="D94" s="275"/>
      <c r="E94" s="276"/>
      <c r="F94" s="276"/>
      <c r="G94" s="277"/>
      <c r="H94" s="277"/>
      <c r="I94" s="277"/>
      <c r="J94" s="32"/>
      <c r="K94" s="278"/>
      <c r="L94" s="278"/>
      <c r="M94" s="32"/>
      <c r="N94" s="219"/>
      <c r="O94" s="272"/>
      <c r="P94" s="32"/>
      <c r="Q94" s="32"/>
      <c r="R94" s="32"/>
      <c r="S94" s="32"/>
      <c r="T94" s="32"/>
      <c r="U94" s="279" t="s">
        <v>183</v>
      </c>
      <c r="V94" s="279">
        <v>100.0</v>
      </c>
      <c r="W94" s="279">
        <v>697.0</v>
      </c>
      <c r="X94" s="279">
        <v>16.9</v>
      </c>
      <c r="Y94" s="279">
        <v>2.7</v>
      </c>
      <c r="Z94" s="279">
        <v>66.5</v>
      </c>
      <c r="AA94" s="279">
        <v>9.9</v>
      </c>
      <c r="AB94" s="32"/>
    </row>
    <row r="95" ht="14.25" customHeight="1">
      <c r="A95" s="32"/>
      <c r="B95" s="274"/>
      <c r="C95" s="274"/>
      <c r="D95" s="275"/>
      <c r="E95" s="276"/>
      <c r="F95" s="276"/>
      <c r="G95" s="277"/>
      <c r="H95" s="277"/>
      <c r="I95" s="277"/>
      <c r="J95" s="32"/>
      <c r="K95" s="278"/>
      <c r="L95" s="278"/>
      <c r="M95" s="32"/>
      <c r="N95" s="219"/>
      <c r="O95" s="272"/>
      <c r="P95" s="32"/>
      <c r="Q95" s="32"/>
      <c r="R95" s="32"/>
      <c r="S95" s="32"/>
      <c r="T95" s="32"/>
      <c r="U95" s="280" t="s">
        <v>184</v>
      </c>
      <c r="V95" s="281">
        <v>100.0</v>
      </c>
      <c r="W95" s="281">
        <v>60.0</v>
      </c>
      <c r="X95" s="281">
        <v>0.0</v>
      </c>
      <c r="Y95" s="281">
        <v>12.0</v>
      </c>
      <c r="Z95" s="281">
        <v>0.0</v>
      </c>
      <c r="AA95" s="281">
        <v>1.2</v>
      </c>
      <c r="AB95" s="32"/>
    </row>
    <row r="96" ht="14.25" customHeight="1">
      <c r="A96" s="32"/>
      <c r="B96" s="274"/>
      <c r="C96" s="274"/>
      <c r="D96" s="275"/>
      <c r="E96" s="276"/>
      <c r="F96" s="276"/>
      <c r="G96" s="277"/>
      <c r="H96" s="277"/>
      <c r="I96" s="277"/>
      <c r="J96" s="32"/>
      <c r="K96" s="278"/>
      <c r="L96" s="278"/>
      <c r="M96" s="32"/>
      <c r="N96" s="219"/>
      <c r="O96" s="272"/>
      <c r="P96" s="32"/>
      <c r="Q96" s="32"/>
      <c r="R96" s="32"/>
      <c r="S96" s="32"/>
      <c r="T96" s="32"/>
      <c r="U96" s="282" t="s">
        <v>185</v>
      </c>
      <c r="V96" s="283">
        <v>100.0</v>
      </c>
      <c r="W96" s="284">
        <v>53.0</v>
      </c>
      <c r="X96" s="284">
        <v>2.3</v>
      </c>
      <c r="Y96" s="284">
        <v>3.5</v>
      </c>
      <c r="Z96" s="284">
        <v>2.9</v>
      </c>
      <c r="AA96" s="284">
        <v>2.5</v>
      </c>
      <c r="AB96" s="32"/>
    </row>
    <row r="97" ht="14.25" customHeight="1">
      <c r="A97" s="32"/>
      <c r="B97" s="274"/>
      <c r="C97" s="274"/>
      <c r="D97" s="275"/>
      <c r="E97" s="276"/>
      <c r="F97" s="276"/>
      <c r="G97" s="277"/>
      <c r="H97" s="277"/>
      <c r="I97" s="277"/>
      <c r="J97" s="32"/>
      <c r="K97" s="278"/>
      <c r="L97" s="278"/>
      <c r="M97" s="32"/>
      <c r="N97" s="219"/>
      <c r="O97" s="272"/>
      <c r="P97" s="32"/>
      <c r="Q97" s="32"/>
      <c r="R97" s="32"/>
      <c r="S97" s="32"/>
      <c r="T97" s="32"/>
      <c r="U97" s="285"/>
      <c r="V97" s="285"/>
      <c r="W97" s="286"/>
      <c r="X97" s="286"/>
      <c r="Y97" s="286"/>
      <c r="Z97" s="286"/>
      <c r="AA97" s="286"/>
      <c r="AB97" s="32"/>
    </row>
    <row r="98" ht="14.25" customHeight="1">
      <c r="A98" s="32"/>
      <c r="B98" s="274"/>
      <c r="C98" s="274"/>
      <c r="D98" s="275"/>
      <c r="E98" s="276"/>
      <c r="F98" s="276"/>
      <c r="G98" s="277"/>
      <c r="H98" s="277"/>
      <c r="I98" s="277"/>
      <c r="J98" s="32"/>
      <c r="K98" s="278"/>
      <c r="L98" s="278"/>
      <c r="M98" s="32"/>
      <c r="N98" s="219"/>
      <c r="O98" s="272"/>
      <c r="P98" s="32"/>
      <c r="Q98" s="32"/>
      <c r="R98" s="32"/>
      <c r="S98" s="32"/>
      <c r="T98" s="32"/>
      <c r="U98" s="286"/>
      <c r="V98" s="286"/>
      <c r="W98" s="286"/>
      <c r="X98" s="286"/>
      <c r="Y98" s="286"/>
      <c r="Z98" s="286"/>
      <c r="AA98" s="286"/>
      <c r="AB98" s="32"/>
    </row>
    <row r="99" ht="14.25" customHeight="1">
      <c r="A99" s="32"/>
      <c r="B99" s="274"/>
      <c r="C99" s="274"/>
      <c r="D99" s="275"/>
      <c r="E99" s="276"/>
      <c r="F99" s="276"/>
      <c r="G99" s="277"/>
      <c r="H99" s="277"/>
      <c r="I99" s="277"/>
      <c r="J99" s="32"/>
      <c r="K99" s="278"/>
      <c r="L99" s="278"/>
      <c r="M99" s="32"/>
      <c r="N99" s="219"/>
      <c r="O99" s="272"/>
      <c r="P99" s="32"/>
      <c r="Q99" s="32"/>
      <c r="R99" s="32"/>
      <c r="S99" s="32"/>
      <c r="T99" s="32"/>
      <c r="U99" s="286"/>
      <c r="V99" s="286"/>
      <c r="W99" s="286"/>
      <c r="X99" s="286"/>
      <c r="Y99" s="286"/>
      <c r="Z99" s="286"/>
      <c r="AA99" s="286"/>
      <c r="AB99" s="32"/>
    </row>
    <row r="100" ht="14.25" customHeight="1">
      <c r="A100" s="32"/>
      <c r="B100" s="274"/>
      <c r="C100" s="274"/>
      <c r="D100" s="275"/>
      <c r="E100" s="276"/>
      <c r="F100" s="276"/>
      <c r="G100" s="277"/>
      <c r="H100" s="277"/>
      <c r="I100" s="277"/>
      <c r="J100" s="32"/>
      <c r="K100" s="278"/>
      <c r="L100" s="278"/>
      <c r="M100" s="32"/>
      <c r="N100" s="219"/>
      <c r="O100" s="272"/>
      <c r="P100" s="32"/>
      <c r="Q100" s="32"/>
      <c r="R100" s="32"/>
      <c r="S100" s="32"/>
      <c r="T100" s="32"/>
      <c r="U100" s="286"/>
      <c r="V100" s="286"/>
      <c r="W100" s="286"/>
      <c r="X100" s="286"/>
      <c r="Y100" s="286"/>
      <c r="Z100" s="286"/>
      <c r="AA100" s="286"/>
      <c r="AB100" s="32"/>
    </row>
    <row r="101" ht="14.25" customHeight="1">
      <c r="A101" s="32"/>
      <c r="B101" s="274"/>
      <c r="C101" s="274"/>
      <c r="D101" s="275"/>
      <c r="E101" s="276"/>
      <c r="F101" s="276"/>
      <c r="G101" s="277"/>
      <c r="H101" s="277"/>
      <c r="I101" s="277"/>
      <c r="J101" s="32"/>
      <c r="K101" s="278"/>
      <c r="L101" s="278"/>
      <c r="M101" s="32"/>
      <c r="N101" s="219"/>
      <c r="O101" s="272"/>
      <c r="P101" s="32"/>
      <c r="Q101" s="32"/>
      <c r="R101" s="32"/>
      <c r="S101" s="32"/>
      <c r="T101" s="32"/>
      <c r="U101" s="286"/>
      <c r="V101" s="286"/>
      <c r="W101" s="286"/>
      <c r="X101" s="286"/>
      <c r="Y101" s="286"/>
      <c r="Z101" s="286"/>
      <c r="AA101" s="286"/>
      <c r="AB101" s="32"/>
    </row>
    <row r="102" ht="14.25" customHeight="1">
      <c r="A102" s="32"/>
      <c r="B102" s="274"/>
      <c r="C102" s="274"/>
      <c r="D102" s="275"/>
      <c r="E102" s="276"/>
      <c r="F102" s="276"/>
      <c r="G102" s="277"/>
      <c r="H102" s="277"/>
      <c r="I102" s="277"/>
      <c r="J102" s="32"/>
      <c r="K102" s="278"/>
      <c r="L102" s="278"/>
      <c r="M102" s="32"/>
      <c r="N102" s="219"/>
      <c r="O102" s="272"/>
      <c r="P102" s="32"/>
      <c r="Q102" s="32"/>
      <c r="R102" s="32"/>
      <c r="S102" s="32"/>
      <c r="T102" s="32"/>
      <c r="U102" s="286"/>
      <c r="V102" s="286"/>
      <c r="W102" s="286"/>
      <c r="X102" s="286"/>
      <c r="Y102" s="286"/>
      <c r="Z102" s="286"/>
      <c r="AA102" s="286"/>
      <c r="AB102" s="32"/>
    </row>
    <row r="103" ht="14.25" customHeight="1">
      <c r="A103" s="32"/>
      <c r="B103" s="274"/>
      <c r="C103" s="274"/>
      <c r="D103" s="275"/>
      <c r="E103" s="276"/>
      <c r="F103" s="276"/>
      <c r="G103" s="277"/>
      <c r="H103" s="277"/>
      <c r="I103" s="277"/>
      <c r="J103" s="32"/>
      <c r="K103" s="278"/>
      <c r="L103" s="278"/>
      <c r="M103" s="32"/>
      <c r="N103" s="219"/>
      <c r="O103" s="272"/>
      <c r="P103" s="32"/>
      <c r="Q103" s="32"/>
      <c r="R103" s="32"/>
      <c r="S103" s="32"/>
      <c r="T103" s="32"/>
      <c r="U103" s="286"/>
      <c r="V103" s="286"/>
      <c r="W103" s="286"/>
      <c r="X103" s="286"/>
      <c r="Y103" s="286"/>
      <c r="Z103" s="286"/>
      <c r="AA103" s="286"/>
      <c r="AB103" s="32"/>
    </row>
    <row r="104" ht="14.25" customHeight="1">
      <c r="A104" s="32"/>
      <c r="B104" s="274"/>
      <c r="C104" s="274"/>
      <c r="D104" s="275"/>
      <c r="E104" s="276"/>
      <c r="F104" s="276"/>
      <c r="G104" s="277"/>
      <c r="H104" s="277"/>
      <c r="I104" s="277"/>
      <c r="J104" s="32"/>
      <c r="K104" s="278"/>
      <c r="L104" s="278"/>
      <c r="M104" s="32"/>
      <c r="N104" s="219"/>
      <c r="O104" s="272"/>
      <c r="P104" s="32"/>
      <c r="Q104" s="32"/>
      <c r="R104" s="32"/>
      <c r="S104" s="32"/>
      <c r="T104" s="32"/>
      <c r="U104" s="286"/>
      <c r="V104" s="286"/>
      <c r="W104" s="286"/>
      <c r="X104" s="286"/>
      <c r="Y104" s="286"/>
      <c r="Z104" s="286"/>
      <c r="AA104" s="286"/>
      <c r="AB104" s="32"/>
    </row>
    <row r="105" ht="14.25" customHeight="1">
      <c r="A105" s="32"/>
      <c r="B105" s="274"/>
      <c r="C105" s="274"/>
      <c r="D105" s="275"/>
      <c r="E105" s="276"/>
      <c r="F105" s="276"/>
      <c r="G105" s="277"/>
      <c r="H105" s="277"/>
      <c r="I105" s="277"/>
      <c r="J105" s="32"/>
      <c r="K105" s="278"/>
      <c r="L105" s="278"/>
      <c r="M105" s="32"/>
      <c r="N105" s="219"/>
      <c r="O105" s="272"/>
      <c r="P105" s="32"/>
      <c r="Q105" s="32"/>
      <c r="R105" s="32"/>
      <c r="S105" s="32"/>
      <c r="T105" s="32"/>
      <c r="U105" s="286"/>
      <c r="V105" s="286"/>
      <c r="W105" s="286"/>
      <c r="X105" s="286"/>
      <c r="Y105" s="286"/>
      <c r="Z105" s="286"/>
      <c r="AA105" s="286"/>
      <c r="AB105" s="32"/>
    </row>
    <row r="106" ht="14.25" customHeight="1">
      <c r="A106" s="32"/>
      <c r="B106" s="274"/>
      <c r="C106" s="274"/>
      <c r="D106" s="275"/>
      <c r="E106" s="276"/>
      <c r="F106" s="276"/>
      <c r="G106" s="277"/>
      <c r="H106" s="277"/>
      <c r="I106" s="277"/>
      <c r="J106" s="32"/>
      <c r="K106" s="278"/>
      <c r="L106" s="278"/>
      <c r="M106" s="32"/>
      <c r="N106" s="219"/>
      <c r="O106" s="272"/>
      <c r="P106" s="32"/>
      <c r="Q106" s="32"/>
      <c r="R106" s="32"/>
      <c r="S106" s="32"/>
      <c r="T106" s="32"/>
      <c r="U106" s="286"/>
      <c r="V106" s="286"/>
      <c r="W106" s="286"/>
      <c r="X106" s="286"/>
      <c r="Y106" s="286"/>
      <c r="Z106" s="286"/>
      <c r="AA106" s="286"/>
      <c r="AB106" s="32"/>
    </row>
    <row r="107" ht="14.25" customHeight="1">
      <c r="A107" s="32"/>
      <c r="B107" s="274"/>
      <c r="C107" s="274"/>
      <c r="D107" s="275"/>
      <c r="E107" s="276"/>
      <c r="F107" s="276"/>
      <c r="G107" s="277"/>
      <c r="H107" s="277"/>
      <c r="I107" s="277"/>
      <c r="J107" s="32"/>
      <c r="K107" s="278"/>
      <c r="L107" s="278"/>
      <c r="M107" s="32"/>
      <c r="N107" s="219"/>
      <c r="O107" s="272"/>
      <c r="P107" s="32"/>
      <c r="Q107" s="32"/>
      <c r="R107" s="32"/>
      <c r="S107" s="32"/>
      <c r="T107" s="32"/>
      <c r="U107" s="286"/>
      <c r="V107" s="286"/>
      <c r="W107" s="286"/>
      <c r="X107" s="286"/>
      <c r="Y107" s="286"/>
      <c r="Z107" s="286"/>
      <c r="AA107" s="286"/>
      <c r="AB107" s="32"/>
    </row>
    <row r="108" ht="14.25" customHeight="1">
      <c r="A108" s="32"/>
      <c r="B108" s="274"/>
      <c r="C108" s="274"/>
      <c r="D108" s="275"/>
      <c r="E108" s="276"/>
      <c r="F108" s="276"/>
      <c r="G108" s="277"/>
      <c r="H108" s="277"/>
      <c r="I108" s="277"/>
      <c r="J108" s="32"/>
      <c r="K108" s="278"/>
      <c r="L108" s="278"/>
      <c r="M108" s="32"/>
      <c r="N108" s="219"/>
      <c r="O108" s="272"/>
      <c r="P108" s="32"/>
      <c r="Q108" s="32"/>
      <c r="R108" s="32"/>
      <c r="S108" s="32"/>
      <c r="T108" s="32"/>
      <c r="U108" s="286"/>
      <c r="V108" s="286"/>
      <c r="W108" s="286"/>
      <c r="X108" s="286"/>
      <c r="Y108" s="286"/>
      <c r="Z108" s="286"/>
      <c r="AA108" s="286"/>
      <c r="AB108" s="32"/>
    </row>
    <row r="109" ht="14.25" customHeight="1">
      <c r="A109" s="32"/>
      <c r="B109" s="274"/>
      <c r="C109" s="274"/>
      <c r="D109" s="275"/>
      <c r="E109" s="276"/>
      <c r="F109" s="276"/>
      <c r="G109" s="277"/>
      <c r="H109" s="277"/>
      <c r="I109" s="277"/>
      <c r="J109" s="32"/>
      <c r="K109" s="278"/>
      <c r="L109" s="278"/>
      <c r="M109" s="32"/>
      <c r="N109" s="219"/>
      <c r="O109" s="272"/>
      <c r="P109" s="32"/>
      <c r="Q109" s="32"/>
      <c r="R109" s="32"/>
      <c r="S109" s="32"/>
      <c r="T109" s="32"/>
      <c r="U109" s="286"/>
      <c r="V109" s="286"/>
      <c r="W109" s="286"/>
      <c r="X109" s="286"/>
      <c r="Y109" s="286"/>
      <c r="Z109" s="286"/>
      <c r="AA109" s="286"/>
      <c r="AB109" s="32"/>
    </row>
    <row r="110" ht="14.25" customHeight="1">
      <c r="A110" s="32"/>
      <c r="B110" s="274"/>
      <c r="C110" s="274"/>
      <c r="D110" s="275"/>
      <c r="E110" s="276"/>
      <c r="F110" s="276"/>
      <c r="G110" s="277"/>
      <c r="H110" s="277"/>
      <c r="I110" s="277"/>
      <c r="J110" s="32"/>
      <c r="K110" s="278"/>
      <c r="L110" s="278"/>
      <c r="M110" s="32"/>
      <c r="N110" s="219"/>
      <c r="O110" s="272"/>
      <c r="P110" s="32"/>
      <c r="Q110" s="32"/>
      <c r="R110" s="32"/>
      <c r="S110" s="32"/>
      <c r="T110" s="32"/>
      <c r="U110" s="286"/>
      <c r="V110" s="286"/>
      <c r="W110" s="286"/>
      <c r="X110" s="286"/>
      <c r="Y110" s="286"/>
      <c r="Z110" s="286"/>
      <c r="AA110" s="286"/>
      <c r="AB110" s="32"/>
    </row>
    <row r="111" ht="14.25" customHeight="1">
      <c r="A111" s="32"/>
      <c r="B111" s="274"/>
      <c r="C111" s="274"/>
      <c r="D111" s="275"/>
      <c r="E111" s="276"/>
      <c r="F111" s="276"/>
      <c r="G111" s="277"/>
      <c r="H111" s="277"/>
      <c r="I111" s="277"/>
      <c r="J111" s="32"/>
      <c r="K111" s="278"/>
      <c r="L111" s="278"/>
      <c r="M111" s="32"/>
      <c r="N111" s="219"/>
      <c r="O111" s="272"/>
      <c r="P111" s="32"/>
      <c r="Q111" s="32"/>
      <c r="R111" s="32"/>
      <c r="S111" s="32"/>
      <c r="T111" s="32"/>
      <c r="U111" s="286"/>
      <c r="V111" s="286"/>
      <c r="W111" s="286"/>
      <c r="X111" s="286"/>
      <c r="Y111" s="286"/>
      <c r="Z111" s="286"/>
      <c r="AA111" s="286"/>
      <c r="AB111" s="32"/>
    </row>
    <row r="112" ht="14.25" customHeight="1">
      <c r="A112" s="32"/>
      <c r="B112" s="274"/>
      <c r="C112" s="274"/>
      <c r="D112" s="275"/>
      <c r="E112" s="276"/>
      <c r="F112" s="276"/>
      <c r="G112" s="277"/>
      <c r="H112" s="277"/>
      <c r="I112" s="277"/>
      <c r="J112" s="32"/>
      <c r="K112" s="278"/>
      <c r="L112" s="278"/>
      <c r="M112" s="32"/>
      <c r="N112" s="219"/>
      <c r="O112" s="272"/>
      <c r="P112" s="32"/>
      <c r="Q112" s="32"/>
      <c r="R112" s="32"/>
      <c r="S112" s="32"/>
      <c r="T112" s="32"/>
      <c r="U112" s="286"/>
      <c r="V112" s="286"/>
      <c r="W112" s="286"/>
      <c r="X112" s="286"/>
      <c r="Y112" s="286"/>
      <c r="Z112" s="286"/>
      <c r="AA112" s="286"/>
      <c r="AB112" s="32"/>
    </row>
    <row r="113" ht="14.25" customHeight="1">
      <c r="A113" s="32"/>
      <c r="B113" s="274"/>
      <c r="C113" s="274"/>
      <c r="D113" s="275"/>
      <c r="E113" s="276"/>
      <c r="F113" s="276"/>
      <c r="G113" s="277"/>
      <c r="H113" s="277"/>
      <c r="I113" s="277"/>
      <c r="J113" s="32"/>
      <c r="K113" s="278"/>
      <c r="L113" s="278"/>
      <c r="M113" s="32"/>
      <c r="N113" s="219"/>
      <c r="O113" s="272"/>
      <c r="P113" s="32"/>
      <c r="Q113" s="32"/>
      <c r="R113" s="32"/>
      <c r="S113" s="32"/>
      <c r="T113" s="32"/>
      <c r="U113" s="286"/>
      <c r="V113" s="286"/>
      <c r="W113" s="286"/>
      <c r="X113" s="286"/>
      <c r="Y113" s="286"/>
      <c r="Z113" s="286"/>
      <c r="AA113" s="286"/>
      <c r="AB113" s="32"/>
    </row>
    <row r="114" ht="14.25" customHeight="1">
      <c r="A114" s="32"/>
      <c r="B114" s="274"/>
      <c r="C114" s="274"/>
      <c r="D114" s="275"/>
      <c r="E114" s="276"/>
      <c r="F114" s="276"/>
      <c r="G114" s="277"/>
      <c r="H114" s="277"/>
      <c r="I114" s="277"/>
      <c r="J114" s="32"/>
      <c r="K114" s="278"/>
      <c r="L114" s="278"/>
      <c r="M114" s="32"/>
      <c r="N114" s="219"/>
      <c r="O114" s="272"/>
      <c r="P114" s="32"/>
      <c r="Q114" s="32"/>
      <c r="R114" s="32"/>
      <c r="S114" s="32"/>
      <c r="T114" s="32"/>
      <c r="U114" s="286"/>
      <c r="V114" s="286"/>
      <c r="W114" s="286"/>
      <c r="X114" s="286"/>
      <c r="Y114" s="286"/>
      <c r="Z114" s="286"/>
      <c r="AA114" s="286"/>
      <c r="AB114" s="32"/>
    </row>
    <row r="115" ht="14.25" customHeight="1">
      <c r="A115" s="32"/>
      <c r="B115" s="274"/>
      <c r="C115" s="274"/>
      <c r="D115" s="275"/>
      <c r="E115" s="276"/>
      <c r="F115" s="276"/>
      <c r="G115" s="277"/>
      <c r="H115" s="277"/>
      <c r="I115" s="277"/>
      <c r="J115" s="32"/>
      <c r="K115" s="278"/>
      <c r="L115" s="278"/>
      <c r="M115" s="32"/>
      <c r="N115" s="219"/>
      <c r="O115" s="272"/>
      <c r="P115" s="32"/>
      <c r="Q115" s="32"/>
      <c r="R115" s="32"/>
      <c r="S115" s="32"/>
      <c r="T115" s="32"/>
      <c r="U115" s="286"/>
      <c r="V115" s="286"/>
      <c r="W115" s="286"/>
      <c r="X115" s="286"/>
      <c r="Y115" s="286"/>
      <c r="Z115" s="286"/>
      <c r="AA115" s="286"/>
      <c r="AB115" s="32"/>
    </row>
    <row r="116" ht="14.25" customHeight="1">
      <c r="A116" s="32"/>
      <c r="B116" s="274"/>
      <c r="C116" s="274"/>
      <c r="D116" s="275"/>
      <c r="E116" s="276"/>
      <c r="F116" s="276"/>
      <c r="G116" s="277"/>
      <c r="H116" s="277"/>
      <c r="I116" s="277"/>
      <c r="J116" s="32"/>
      <c r="K116" s="278"/>
      <c r="L116" s="278"/>
      <c r="M116" s="32"/>
      <c r="N116" s="219"/>
      <c r="O116" s="272"/>
      <c r="P116" s="32"/>
      <c r="Q116" s="32"/>
      <c r="R116" s="32"/>
      <c r="S116" s="32"/>
      <c r="T116" s="32"/>
      <c r="U116" s="286"/>
      <c r="V116" s="286"/>
      <c r="W116" s="286"/>
      <c r="X116" s="286"/>
      <c r="Y116" s="286"/>
      <c r="Z116" s="286"/>
      <c r="AA116" s="286"/>
      <c r="AB116" s="32"/>
    </row>
    <row r="117" ht="14.25" customHeight="1">
      <c r="A117" s="32"/>
      <c r="B117" s="274"/>
      <c r="C117" s="274"/>
      <c r="D117" s="275"/>
      <c r="E117" s="276"/>
      <c r="F117" s="276"/>
      <c r="G117" s="277"/>
      <c r="H117" s="277"/>
      <c r="I117" s="277"/>
      <c r="J117" s="32"/>
      <c r="K117" s="278"/>
      <c r="L117" s="278"/>
      <c r="M117" s="32"/>
      <c r="N117" s="219"/>
      <c r="O117" s="272"/>
      <c r="P117" s="32"/>
      <c r="Q117" s="32"/>
      <c r="R117" s="32"/>
      <c r="S117" s="32"/>
      <c r="T117" s="32"/>
      <c r="U117" s="286"/>
      <c r="V117" s="286"/>
      <c r="W117" s="286"/>
      <c r="X117" s="286"/>
      <c r="Y117" s="286"/>
      <c r="Z117" s="286"/>
      <c r="AA117" s="286"/>
      <c r="AB117" s="32"/>
    </row>
    <row r="118" ht="14.25" customHeight="1">
      <c r="A118" s="32"/>
      <c r="B118" s="32"/>
      <c r="C118" s="32"/>
      <c r="D118" s="287"/>
      <c r="E118" s="277"/>
      <c r="F118" s="277"/>
      <c r="G118" s="277"/>
      <c r="H118" s="277"/>
      <c r="I118" s="277"/>
      <c r="J118" s="32"/>
      <c r="K118" s="278"/>
      <c r="L118" s="278"/>
      <c r="M118" s="32"/>
      <c r="N118" s="219"/>
      <c r="O118" s="272"/>
      <c r="P118" s="32"/>
      <c r="Q118" s="32"/>
      <c r="R118" s="32"/>
      <c r="S118" s="32"/>
      <c r="T118" s="32"/>
      <c r="U118" s="286"/>
      <c r="V118" s="286"/>
      <c r="W118" s="286"/>
      <c r="X118" s="286"/>
      <c r="Y118" s="286"/>
      <c r="Z118" s="286"/>
      <c r="AA118" s="286"/>
      <c r="AB118" s="32"/>
    </row>
    <row r="119" ht="14.25" customHeight="1">
      <c r="A119" s="32"/>
      <c r="B119" s="32"/>
      <c r="C119" s="32"/>
      <c r="D119" s="287"/>
      <c r="E119" s="277"/>
      <c r="F119" s="277"/>
      <c r="G119" s="277"/>
      <c r="H119" s="277"/>
      <c r="I119" s="277"/>
      <c r="J119" s="32"/>
      <c r="K119" s="278"/>
      <c r="L119" s="278"/>
      <c r="M119" s="32"/>
      <c r="N119" s="219"/>
      <c r="O119" s="272"/>
      <c r="P119" s="32"/>
      <c r="Q119" s="32"/>
      <c r="R119" s="32"/>
      <c r="S119" s="32"/>
      <c r="T119" s="32"/>
      <c r="U119" s="286"/>
      <c r="V119" s="286"/>
      <c r="W119" s="286"/>
      <c r="X119" s="286"/>
      <c r="Y119" s="286"/>
      <c r="Z119" s="286"/>
      <c r="AA119" s="286"/>
      <c r="AB119" s="32"/>
    </row>
    <row r="120" ht="14.25" customHeight="1">
      <c r="A120" s="32"/>
      <c r="B120" s="32"/>
      <c r="C120" s="32"/>
      <c r="D120" s="287"/>
      <c r="E120" s="277"/>
      <c r="F120" s="277"/>
      <c r="G120" s="277"/>
      <c r="H120" s="277"/>
      <c r="I120" s="277"/>
      <c r="J120" s="32"/>
      <c r="K120" s="278"/>
      <c r="L120" s="278"/>
      <c r="M120" s="32"/>
      <c r="N120" s="219"/>
      <c r="O120" s="272"/>
      <c r="P120" s="32"/>
      <c r="Q120" s="32"/>
      <c r="R120" s="32"/>
      <c r="S120" s="32"/>
      <c r="T120" s="32"/>
      <c r="U120" s="286"/>
      <c r="V120" s="286"/>
      <c r="W120" s="286"/>
      <c r="X120" s="286"/>
      <c r="Y120" s="286"/>
      <c r="Z120" s="286"/>
      <c r="AA120" s="286"/>
      <c r="AB120" s="32"/>
    </row>
    <row r="121" ht="14.25" customHeight="1">
      <c r="A121" s="32"/>
      <c r="B121" s="32"/>
      <c r="C121" s="32"/>
      <c r="D121" s="287"/>
      <c r="E121" s="277"/>
      <c r="F121" s="277"/>
      <c r="G121" s="277"/>
      <c r="H121" s="277"/>
      <c r="I121" s="277"/>
      <c r="J121" s="32"/>
      <c r="K121" s="278"/>
      <c r="L121" s="278"/>
      <c r="M121" s="32"/>
      <c r="N121" s="219"/>
      <c r="O121" s="272"/>
      <c r="P121" s="32"/>
      <c r="Q121" s="32"/>
      <c r="R121" s="32"/>
      <c r="S121" s="32"/>
      <c r="T121" s="32"/>
      <c r="U121" s="286"/>
      <c r="V121" s="286"/>
      <c r="W121" s="286"/>
      <c r="X121" s="286"/>
      <c r="Y121" s="286"/>
      <c r="Z121" s="286"/>
      <c r="AA121" s="286"/>
      <c r="AB121" s="32"/>
    </row>
    <row r="122" ht="14.25" customHeight="1">
      <c r="A122" s="32"/>
      <c r="B122" s="32"/>
      <c r="C122" s="32"/>
      <c r="D122" s="287"/>
      <c r="E122" s="277"/>
      <c r="F122" s="277"/>
      <c r="G122" s="277"/>
      <c r="H122" s="277"/>
      <c r="I122" s="277"/>
      <c r="J122" s="32"/>
      <c r="K122" s="278"/>
      <c r="L122" s="278"/>
      <c r="M122" s="32"/>
      <c r="N122" s="219"/>
      <c r="O122" s="272"/>
      <c r="P122" s="32"/>
      <c r="Q122" s="32"/>
      <c r="R122" s="32"/>
      <c r="S122" s="32"/>
      <c r="T122" s="32"/>
      <c r="U122" s="286"/>
      <c r="V122" s="286"/>
      <c r="W122" s="286"/>
      <c r="X122" s="286"/>
      <c r="Y122" s="286"/>
      <c r="Z122" s="286"/>
      <c r="AA122" s="286"/>
      <c r="AB122" s="32"/>
    </row>
    <row r="123" ht="14.25" customHeight="1">
      <c r="A123" s="32"/>
      <c r="B123" s="32"/>
      <c r="C123" s="32"/>
      <c r="D123" s="287"/>
      <c r="E123" s="277"/>
      <c r="F123" s="277"/>
      <c r="G123" s="277"/>
      <c r="H123" s="277"/>
      <c r="I123" s="277"/>
      <c r="J123" s="32"/>
      <c r="K123" s="278"/>
      <c r="L123" s="278"/>
      <c r="M123" s="32"/>
      <c r="N123" s="219"/>
      <c r="O123" s="272"/>
      <c r="P123" s="32"/>
      <c r="Q123" s="32"/>
      <c r="R123" s="32"/>
      <c r="S123" s="32"/>
      <c r="T123" s="32"/>
      <c r="U123" s="286"/>
      <c r="V123" s="286"/>
      <c r="W123" s="286"/>
      <c r="X123" s="286"/>
      <c r="Y123" s="286"/>
      <c r="Z123" s="286"/>
      <c r="AA123" s="286"/>
      <c r="AB123" s="32"/>
    </row>
    <row r="124" ht="14.25" customHeight="1">
      <c r="A124" s="32"/>
      <c r="B124" s="32"/>
      <c r="C124" s="32"/>
      <c r="D124" s="287"/>
      <c r="E124" s="277"/>
      <c r="F124" s="277"/>
      <c r="G124" s="277"/>
      <c r="H124" s="277"/>
      <c r="I124" s="277"/>
      <c r="J124" s="32"/>
      <c r="K124" s="278"/>
      <c r="L124" s="278"/>
      <c r="M124" s="32"/>
      <c r="N124" s="219"/>
      <c r="O124" s="272"/>
      <c r="P124" s="32"/>
      <c r="Q124" s="32"/>
      <c r="R124" s="32"/>
      <c r="S124" s="32"/>
      <c r="T124" s="32"/>
      <c r="U124" s="286"/>
      <c r="V124" s="286"/>
      <c r="W124" s="286"/>
      <c r="X124" s="286"/>
      <c r="Y124" s="286"/>
      <c r="Z124" s="286"/>
      <c r="AA124" s="286"/>
      <c r="AB124" s="32"/>
    </row>
    <row r="125" ht="14.25" customHeight="1">
      <c r="A125" s="32"/>
      <c r="B125" s="32"/>
      <c r="C125" s="32"/>
      <c r="D125" s="287"/>
      <c r="E125" s="277"/>
      <c r="F125" s="277"/>
      <c r="G125" s="277"/>
      <c r="H125" s="277"/>
      <c r="I125" s="277"/>
      <c r="J125" s="32"/>
      <c r="K125" s="278"/>
      <c r="L125" s="278"/>
      <c r="M125" s="32"/>
      <c r="N125" s="219"/>
      <c r="O125" s="272"/>
      <c r="P125" s="32"/>
      <c r="Q125" s="32"/>
      <c r="R125" s="32"/>
      <c r="S125" s="32"/>
      <c r="T125" s="32"/>
      <c r="U125" s="286"/>
      <c r="V125" s="286"/>
      <c r="W125" s="286"/>
      <c r="X125" s="286"/>
      <c r="Y125" s="286"/>
      <c r="Z125" s="286"/>
      <c r="AA125" s="286"/>
      <c r="AB125" s="32"/>
    </row>
    <row r="126" ht="14.25" customHeight="1">
      <c r="A126" s="32"/>
      <c r="B126" s="32"/>
      <c r="C126" s="32"/>
      <c r="D126" s="287"/>
      <c r="E126" s="277"/>
      <c r="F126" s="277"/>
      <c r="G126" s="277"/>
      <c r="H126" s="277"/>
      <c r="I126" s="277"/>
      <c r="J126" s="32"/>
      <c r="K126" s="278"/>
      <c r="L126" s="278"/>
      <c r="M126" s="32"/>
      <c r="N126" s="219"/>
      <c r="O126" s="272"/>
      <c r="P126" s="32"/>
      <c r="Q126" s="32"/>
      <c r="R126" s="32"/>
      <c r="S126" s="32"/>
      <c r="T126" s="32"/>
      <c r="U126" s="286"/>
      <c r="V126" s="286"/>
      <c r="W126" s="286"/>
      <c r="X126" s="286"/>
      <c r="Y126" s="286"/>
      <c r="Z126" s="286"/>
      <c r="AA126" s="286"/>
      <c r="AB126" s="32"/>
    </row>
    <row r="127" ht="14.25" customHeight="1">
      <c r="A127" s="32"/>
      <c r="B127" s="32"/>
      <c r="C127" s="32"/>
      <c r="D127" s="287"/>
      <c r="E127" s="277"/>
      <c r="F127" s="277"/>
      <c r="G127" s="277"/>
      <c r="H127" s="277"/>
      <c r="I127" s="277"/>
      <c r="J127" s="32"/>
      <c r="K127" s="278"/>
      <c r="L127" s="278"/>
      <c r="M127" s="32"/>
      <c r="N127" s="219"/>
      <c r="O127" s="272"/>
      <c r="P127" s="32"/>
      <c r="Q127" s="32"/>
      <c r="R127" s="32"/>
      <c r="S127" s="32"/>
      <c r="T127" s="32"/>
      <c r="U127" s="286"/>
      <c r="V127" s="286"/>
      <c r="W127" s="286"/>
      <c r="X127" s="286"/>
      <c r="Y127" s="286"/>
      <c r="Z127" s="286"/>
      <c r="AA127" s="286"/>
      <c r="AB127" s="32"/>
    </row>
    <row r="128" ht="14.25" customHeight="1">
      <c r="A128" s="32"/>
      <c r="B128" s="32"/>
      <c r="C128" s="32"/>
      <c r="D128" s="287"/>
      <c r="E128" s="277"/>
      <c r="F128" s="277"/>
      <c r="G128" s="277"/>
      <c r="H128" s="277"/>
      <c r="I128" s="277"/>
      <c r="J128" s="32"/>
      <c r="K128" s="278"/>
      <c r="L128" s="278"/>
      <c r="M128" s="32"/>
      <c r="N128" s="219"/>
      <c r="O128" s="272"/>
      <c r="P128" s="32"/>
      <c r="Q128" s="32"/>
      <c r="R128" s="32"/>
      <c r="S128" s="32"/>
      <c r="T128" s="32"/>
      <c r="U128" s="286"/>
      <c r="V128" s="286"/>
      <c r="W128" s="286"/>
      <c r="X128" s="286"/>
      <c r="Y128" s="286"/>
      <c r="Z128" s="286"/>
      <c r="AA128" s="286"/>
      <c r="AB128" s="32"/>
    </row>
    <row r="129" ht="14.25" customHeight="1">
      <c r="A129" s="32"/>
      <c r="B129" s="32"/>
      <c r="C129" s="32"/>
      <c r="D129" s="287"/>
      <c r="E129" s="277"/>
      <c r="F129" s="277"/>
      <c r="G129" s="277"/>
      <c r="H129" s="277"/>
      <c r="I129" s="277"/>
      <c r="J129" s="32"/>
      <c r="K129" s="278"/>
      <c r="L129" s="278"/>
      <c r="M129" s="32"/>
      <c r="N129" s="219"/>
      <c r="O129" s="272"/>
      <c r="P129" s="32"/>
      <c r="Q129" s="32"/>
      <c r="R129" s="32"/>
      <c r="S129" s="32"/>
      <c r="T129" s="32"/>
      <c r="U129" s="286"/>
      <c r="V129" s="286"/>
      <c r="W129" s="286"/>
      <c r="X129" s="286"/>
      <c r="Y129" s="286"/>
      <c r="Z129" s="286"/>
      <c r="AA129" s="286"/>
      <c r="AB129" s="32"/>
    </row>
    <row r="130" ht="14.25" customHeight="1">
      <c r="A130" s="32"/>
      <c r="B130" s="32"/>
      <c r="C130" s="32"/>
      <c r="D130" s="287"/>
      <c r="E130" s="277"/>
      <c r="F130" s="277"/>
      <c r="G130" s="277"/>
      <c r="H130" s="277"/>
      <c r="I130" s="277"/>
      <c r="J130" s="32"/>
      <c r="K130" s="278"/>
      <c r="L130" s="278"/>
      <c r="M130" s="32"/>
      <c r="N130" s="219"/>
      <c r="O130" s="272"/>
      <c r="P130" s="32"/>
      <c r="Q130" s="32"/>
      <c r="R130" s="32"/>
      <c r="S130" s="32"/>
      <c r="T130" s="32"/>
      <c r="U130" s="286"/>
      <c r="V130" s="286"/>
      <c r="W130" s="286"/>
      <c r="X130" s="286"/>
      <c r="Y130" s="286"/>
      <c r="Z130" s="286"/>
      <c r="AA130" s="286"/>
      <c r="AB130" s="32"/>
    </row>
    <row r="131" ht="14.25" customHeight="1">
      <c r="A131" s="32"/>
      <c r="B131" s="32"/>
      <c r="C131" s="32"/>
      <c r="D131" s="287"/>
      <c r="E131" s="277"/>
      <c r="F131" s="277"/>
      <c r="G131" s="277"/>
      <c r="H131" s="277"/>
      <c r="I131" s="277"/>
      <c r="J131" s="32"/>
      <c r="K131" s="278"/>
      <c r="L131" s="278"/>
      <c r="M131" s="32"/>
      <c r="N131" s="219"/>
      <c r="O131" s="272"/>
      <c r="P131" s="32"/>
      <c r="Q131" s="32"/>
      <c r="R131" s="32"/>
      <c r="S131" s="32"/>
      <c r="T131" s="32"/>
      <c r="U131" s="286"/>
      <c r="V131" s="286"/>
      <c r="W131" s="286"/>
      <c r="X131" s="286"/>
      <c r="Y131" s="286"/>
      <c r="Z131" s="286"/>
      <c r="AA131" s="286"/>
      <c r="AB131" s="32"/>
    </row>
    <row r="132" ht="14.25" customHeight="1">
      <c r="A132" s="32"/>
      <c r="B132" s="32"/>
      <c r="C132" s="32"/>
      <c r="D132" s="287"/>
      <c r="E132" s="277"/>
      <c r="F132" s="277"/>
      <c r="G132" s="277"/>
      <c r="H132" s="277"/>
      <c r="I132" s="277"/>
      <c r="J132" s="32"/>
      <c r="K132" s="278"/>
      <c r="L132" s="278"/>
      <c r="M132" s="32"/>
      <c r="N132" s="219"/>
      <c r="O132" s="272"/>
      <c r="P132" s="32"/>
      <c r="Q132" s="32"/>
      <c r="R132" s="32"/>
      <c r="S132" s="32"/>
      <c r="T132" s="32"/>
      <c r="U132" s="286"/>
      <c r="V132" s="286"/>
      <c r="W132" s="286"/>
      <c r="X132" s="286"/>
      <c r="Y132" s="286"/>
      <c r="Z132" s="286"/>
      <c r="AA132" s="286"/>
      <c r="AB132" s="32"/>
    </row>
    <row r="133" ht="14.25" customHeight="1">
      <c r="A133" s="32"/>
      <c r="B133" s="32"/>
      <c r="C133" s="32"/>
      <c r="D133" s="287"/>
      <c r="E133" s="277"/>
      <c r="F133" s="277"/>
      <c r="G133" s="277"/>
      <c r="H133" s="277"/>
      <c r="I133" s="277"/>
      <c r="J133" s="32"/>
      <c r="K133" s="278"/>
      <c r="L133" s="278"/>
      <c r="M133" s="32"/>
      <c r="N133" s="219"/>
      <c r="O133" s="272"/>
      <c r="P133" s="32"/>
      <c r="Q133" s="32"/>
      <c r="R133" s="32"/>
      <c r="S133" s="32"/>
      <c r="T133" s="32"/>
      <c r="U133" s="286"/>
      <c r="V133" s="286"/>
      <c r="W133" s="286"/>
      <c r="X133" s="286"/>
      <c r="Y133" s="286"/>
      <c r="Z133" s="286"/>
      <c r="AA133" s="286"/>
      <c r="AB133" s="32"/>
    </row>
    <row r="134" ht="14.25" customHeight="1">
      <c r="A134" s="32"/>
      <c r="B134" s="32"/>
      <c r="C134" s="32"/>
      <c r="D134" s="287"/>
      <c r="E134" s="277"/>
      <c r="F134" s="277"/>
      <c r="G134" s="277"/>
      <c r="H134" s="277"/>
      <c r="I134" s="277"/>
      <c r="J134" s="32"/>
      <c r="K134" s="278"/>
      <c r="L134" s="278"/>
      <c r="M134" s="32"/>
      <c r="N134" s="219"/>
      <c r="O134" s="272"/>
      <c r="P134" s="32"/>
      <c r="Q134" s="32"/>
      <c r="R134" s="32"/>
      <c r="S134" s="32"/>
      <c r="T134" s="32"/>
      <c r="U134" s="286"/>
      <c r="V134" s="286"/>
      <c r="W134" s="286"/>
      <c r="X134" s="286"/>
      <c r="Y134" s="286"/>
      <c r="Z134" s="286"/>
      <c r="AA134" s="286"/>
      <c r="AB134" s="32"/>
    </row>
    <row r="135" ht="14.25" customHeight="1">
      <c r="A135" s="32"/>
      <c r="B135" s="32"/>
      <c r="C135" s="32"/>
      <c r="D135" s="287"/>
      <c r="E135" s="277"/>
      <c r="F135" s="277"/>
      <c r="G135" s="277"/>
      <c r="H135" s="277"/>
      <c r="I135" s="277"/>
      <c r="J135" s="32"/>
      <c r="K135" s="278"/>
      <c r="L135" s="278"/>
      <c r="M135" s="32"/>
      <c r="N135" s="219"/>
      <c r="O135" s="272"/>
      <c r="P135" s="32"/>
      <c r="Q135" s="32"/>
      <c r="R135" s="32"/>
      <c r="S135" s="32"/>
      <c r="T135" s="32"/>
      <c r="U135" s="286"/>
      <c r="V135" s="286"/>
      <c r="W135" s="286"/>
      <c r="X135" s="286"/>
      <c r="Y135" s="286"/>
      <c r="Z135" s="286"/>
      <c r="AA135" s="286"/>
      <c r="AB135" s="32"/>
    </row>
    <row r="136" ht="14.25" customHeight="1">
      <c r="A136" s="32"/>
      <c r="B136" s="32"/>
      <c r="C136" s="32"/>
      <c r="D136" s="287"/>
      <c r="E136" s="277"/>
      <c r="F136" s="277"/>
      <c r="G136" s="277"/>
      <c r="H136" s="277"/>
      <c r="I136" s="277"/>
      <c r="J136" s="32"/>
      <c r="K136" s="278"/>
      <c r="L136" s="278"/>
      <c r="M136" s="32"/>
      <c r="N136" s="219"/>
      <c r="O136" s="272"/>
      <c r="P136" s="32"/>
      <c r="Q136" s="32"/>
      <c r="R136" s="32"/>
      <c r="S136" s="32"/>
      <c r="T136" s="32"/>
      <c r="U136" s="286"/>
      <c r="V136" s="286"/>
      <c r="W136" s="286"/>
      <c r="X136" s="286"/>
      <c r="Y136" s="286"/>
      <c r="Z136" s="286"/>
      <c r="AA136" s="286"/>
      <c r="AB136" s="32"/>
    </row>
    <row r="137" ht="14.25" customHeight="1">
      <c r="A137" s="32"/>
      <c r="B137" s="32"/>
      <c r="C137" s="32"/>
      <c r="D137" s="287"/>
      <c r="E137" s="277"/>
      <c r="F137" s="277"/>
      <c r="G137" s="277"/>
      <c r="H137" s="277"/>
      <c r="I137" s="277"/>
      <c r="J137" s="32"/>
      <c r="K137" s="278"/>
      <c r="L137" s="278"/>
      <c r="M137" s="32"/>
      <c r="N137" s="219"/>
      <c r="O137" s="272"/>
      <c r="P137" s="32"/>
      <c r="Q137" s="32"/>
      <c r="R137" s="32"/>
      <c r="S137" s="32"/>
      <c r="T137" s="32"/>
      <c r="U137" s="286"/>
      <c r="V137" s="286"/>
      <c r="W137" s="286"/>
      <c r="X137" s="286"/>
      <c r="Y137" s="286"/>
      <c r="Z137" s="286"/>
      <c r="AA137" s="286"/>
      <c r="AB137" s="32"/>
    </row>
    <row r="138" ht="14.25" customHeight="1">
      <c r="A138" s="32"/>
      <c r="B138" s="32"/>
      <c r="C138" s="32"/>
      <c r="D138" s="287"/>
      <c r="E138" s="277"/>
      <c r="F138" s="277"/>
      <c r="G138" s="277"/>
      <c r="H138" s="277"/>
      <c r="I138" s="277"/>
      <c r="J138" s="32"/>
      <c r="K138" s="278"/>
      <c r="L138" s="278"/>
      <c r="M138" s="32"/>
      <c r="N138" s="219"/>
      <c r="O138" s="272"/>
      <c r="P138" s="32"/>
      <c r="Q138" s="32"/>
      <c r="R138" s="32"/>
      <c r="S138" s="32"/>
      <c r="T138" s="32"/>
      <c r="U138" s="286"/>
      <c r="V138" s="286"/>
      <c r="W138" s="286"/>
      <c r="X138" s="286"/>
      <c r="Y138" s="286"/>
      <c r="Z138" s="286"/>
      <c r="AA138" s="286"/>
      <c r="AB138" s="32"/>
    </row>
    <row r="139" ht="14.25" customHeight="1">
      <c r="A139" s="32"/>
      <c r="B139" s="32"/>
      <c r="C139" s="32"/>
      <c r="D139" s="287"/>
      <c r="E139" s="277"/>
      <c r="F139" s="277"/>
      <c r="G139" s="277"/>
      <c r="H139" s="277"/>
      <c r="I139" s="277"/>
      <c r="J139" s="32"/>
      <c r="K139" s="278"/>
      <c r="L139" s="278"/>
      <c r="M139" s="32"/>
      <c r="N139" s="219"/>
      <c r="O139" s="272"/>
      <c r="P139" s="32"/>
      <c r="Q139" s="32"/>
      <c r="R139" s="32"/>
      <c r="S139" s="32"/>
      <c r="T139" s="32"/>
      <c r="U139" s="286"/>
      <c r="V139" s="286"/>
      <c r="W139" s="286"/>
      <c r="X139" s="286"/>
      <c r="Y139" s="286"/>
      <c r="Z139" s="286"/>
      <c r="AA139" s="286"/>
      <c r="AB139" s="32"/>
    </row>
    <row r="140" ht="14.25" customHeight="1">
      <c r="A140" s="32"/>
      <c r="B140" s="32"/>
      <c r="C140" s="32"/>
      <c r="D140" s="287"/>
      <c r="E140" s="277"/>
      <c r="F140" s="277"/>
      <c r="G140" s="277"/>
      <c r="H140" s="277"/>
      <c r="I140" s="277"/>
      <c r="J140" s="32"/>
      <c r="K140" s="278"/>
      <c r="L140" s="278"/>
      <c r="M140" s="32"/>
      <c r="N140" s="219"/>
      <c r="O140" s="272"/>
      <c r="P140" s="32"/>
      <c r="Q140" s="32"/>
      <c r="R140" s="32"/>
      <c r="S140" s="32"/>
      <c r="T140" s="32"/>
      <c r="U140" s="286"/>
      <c r="V140" s="286"/>
      <c r="W140" s="286"/>
      <c r="X140" s="286"/>
      <c r="Y140" s="286"/>
      <c r="Z140" s="286"/>
      <c r="AA140" s="286"/>
      <c r="AB140" s="32"/>
    </row>
    <row r="141" ht="14.25" customHeight="1">
      <c r="A141" s="32"/>
      <c r="B141" s="32"/>
      <c r="C141" s="32"/>
      <c r="D141" s="287"/>
      <c r="E141" s="277"/>
      <c r="F141" s="277"/>
      <c r="G141" s="277"/>
      <c r="H141" s="277"/>
      <c r="I141" s="277"/>
      <c r="J141" s="32"/>
      <c r="K141" s="278"/>
      <c r="L141" s="278"/>
      <c r="M141" s="32"/>
      <c r="N141" s="219"/>
      <c r="O141" s="272"/>
      <c r="P141" s="32"/>
      <c r="Q141" s="32"/>
      <c r="R141" s="32"/>
      <c r="S141" s="32"/>
      <c r="T141" s="32"/>
      <c r="U141" s="286"/>
      <c r="V141" s="286"/>
      <c r="W141" s="286"/>
      <c r="X141" s="286"/>
      <c r="Y141" s="286"/>
      <c r="Z141" s="286"/>
      <c r="AA141" s="286"/>
      <c r="AB141" s="32"/>
    </row>
    <row r="142" ht="14.25" customHeight="1">
      <c r="A142" s="32"/>
      <c r="B142" s="32"/>
      <c r="C142" s="32"/>
      <c r="D142" s="287"/>
      <c r="E142" s="277"/>
      <c r="F142" s="277"/>
      <c r="G142" s="277"/>
      <c r="H142" s="277"/>
      <c r="I142" s="277"/>
      <c r="J142" s="32"/>
      <c r="K142" s="278"/>
      <c r="L142" s="278"/>
      <c r="M142" s="32"/>
      <c r="N142" s="219"/>
      <c r="O142" s="272"/>
      <c r="P142" s="32"/>
      <c r="Q142" s="32"/>
      <c r="R142" s="32"/>
      <c r="S142" s="32"/>
      <c r="T142" s="32"/>
      <c r="U142" s="286"/>
      <c r="V142" s="286"/>
      <c r="W142" s="286"/>
      <c r="X142" s="286"/>
      <c r="Y142" s="286"/>
      <c r="Z142" s="286"/>
      <c r="AA142" s="286"/>
      <c r="AB142" s="32"/>
    </row>
    <row r="143" ht="14.25" customHeight="1">
      <c r="A143" s="32"/>
      <c r="B143" s="32"/>
      <c r="C143" s="32"/>
      <c r="D143" s="287"/>
      <c r="E143" s="277"/>
      <c r="F143" s="277"/>
      <c r="G143" s="277"/>
      <c r="H143" s="277"/>
      <c r="I143" s="277"/>
      <c r="J143" s="32"/>
      <c r="K143" s="278"/>
      <c r="L143" s="278"/>
      <c r="M143" s="32"/>
      <c r="N143" s="219"/>
      <c r="O143" s="272"/>
      <c r="P143" s="32"/>
      <c r="Q143" s="32"/>
      <c r="R143" s="32"/>
      <c r="S143" s="32"/>
      <c r="T143" s="32"/>
      <c r="U143" s="286"/>
      <c r="V143" s="286"/>
      <c r="W143" s="286"/>
      <c r="X143" s="286"/>
      <c r="Y143" s="286"/>
      <c r="Z143" s="286"/>
      <c r="AA143" s="286"/>
      <c r="AB143" s="32"/>
    </row>
    <row r="144" ht="14.25" customHeight="1">
      <c r="A144" s="32"/>
      <c r="B144" s="32"/>
      <c r="C144" s="32"/>
      <c r="D144" s="287"/>
      <c r="E144" s="277"/>
      <c r="F144" s="277"/>
      <c r="G144" s="277"/>
      <c r="H144" s="277"/>
      <c r="I144" s="277"/>
      <c r="J144" s="32"/>
      <c r="K144" s="278"/>
      <c r="L144" s="278"/>
      <c r="M144" s="32"/>
      <c r="N144" s="219"/>
      <c r="O144" s="272"/>
      <c r="P144" s="32"/>
      <c r="Q144" s="32"/>
      <c r="R144" s="32"/>
      <c r="S144" s="32"/>
      <c r="T144" s="32"/>
      <c r="U144" s="286"/>
      <c r="V144" s="286"/>
      <c r="W144" s="286"/>
      <c r="X144" s="286"/>
      <c r="Y144" s="286"/>
      <c r="Z144" s="286"/>
      <c r="AA144" s="286"/>
      <c r="AB144" s="32"/>
    </row>
    <row r="145" ht="14.25" customHeight="1">
      <c r="A145" s="32"/>
      <c r="B145" s="32"/>
      <c r="C145" s="32"/>
      <c r="D145" s="287"/>
      <c r="E145" s="277"/>
      <c r="F145" s="277"/>
      <c r="G145" s="277"/>
      <c r="H145" s="277"/>
      <c r="I145" s="277"/>
      <c r="J145" s="32"/>
      <c r="K145" s="278"/>
      <c r="L145" s="278"/>
      <c r="M145" s="32"/>
      <c r="N145" s="219"/>
      <c r="O145" s="272"/>
      <c r="P145" s="32"/>
      <c r="Q145" s="32"/>
      <c r="R145" s="32"/>
      <c r="S145" s="32"/>
      <c r="T145" s="32"/>
      <c r="U145" s="286"/>
      <c r="V145" s="286"/>
      <c r="W145" s="286"/>
      <c r="X145" s="286"/>
      <c r="Y145" s="286"/>
      <c r="Z145" s="286"/>
      <c r="AA145" s="286"/>
      <c r="AB145" s="32"/>
    </row>
    <row r="146" ht="14.25" customHeight="1">
      <c r="A146" s="32"/>
      <c r="B146" s="32"/>
      <c r="C146" s="32"/>
      <c r="D146" s="287"/>
      <c r="E146" s="277"/>
      <c r="F146" s="277"/>
      <c r="G146" s="277"/>
      <c r="H146" s="277"/>
      <c r="I146" s="277"/>
      <c r="J146" s="32"/>
      <c r="K146" s="278"/>
      <c r="L146" s="278"/>
      <c r="M146" s="32"/>
      <c r="N146" s="219"/>
      <c r="O146" s="272"/>
      <c r="P146" s="32"/>
      <c r="Q146" s="32"/>
      <c r="R146" s="32"/>
      <c r="S146" s="32"/>
      <c r="T146" s="32"/>
      <c r="U146" s="286"/>
      <c r="V146" s="286"/>
      <c r="W146" s="286"/>
      <c r="X146" s="286"/>
      <c r="Y146" s="286"/>
      <c r="Z146" s="286"/>
      <c r="AA146" s="286"/>
      <c r="AB146" s="32"/>
    </row>
    <row r="147" ht="14.25" customHeight="1">
      <c r="A147" s="32"/>
      <c r="B147" s="32"/>
      <c r="C147" s="32"/>
      <c r="D147" s="287"/>
      <c r="E147" s="277"/>
      <c r="F147" s="277"/>
      <c r="G147" s="277"/>
      <c r="H147" s="277"/>
      <c r="I147" s="277"/>
      <c r="J147" s="32"/>
      <c r="K147" s="278"/>
      <c r="L147" s="278"/>
      <c r="M147" s="32"/>
      <c r="N147" s="219"/>
      <c r="O147" s="272"/>
      <c r="P147" s="32"/>
      <c r="Q147" s="32"/>
      <c r="R147" s="32"/>
      <c r="S147" s="32"/>
      <c r="T147" s="32"/>
      <c r="U147" s="286"/>
      <c r="V147" s="286"/>
      <c r="W147" s="286"/>
      <c r="X147" s="286"/>
      <c r="Y147" s="286"/>
      <c r="Z147" s="286"/>
      <c r="AA147" s="286"/>
      <c r="AB147" s="32"/>
    </row>
    <row r="148" ht="14.25" customHeight="1">
      <c r="A148" s="32"/>
      <c r="B148" s="32"/>
      <c r="C148" s="32"/>
      <c r="D148" s="287"/>
      <c r="E148" s="277"/>
      <c r="F148" s="277"/>
      <c r="G148" s="277"/>
      <c r="H148" s="277"/>
      <c r="I148" s="277"/>
      <c r="J148" s="32"/>
      <c r="K148" s="278"/>
      <c r="L148" s="278"/>
      <c r="M148" s="32"/>
      <c r="N148" s="219"/>
      <c r="O148" s="272"/>
      <c r="P148" s="32"/>
      <c r="Q148" s="32"/>
      <c r="R148" s="32"/>
      <c r="S148" s="32"/>
      <c r="T148" s="32"/>
      <c r="U148" s="286"/>
      <c r="V148" s="286"/>
      <c r="W148" s="286"/>
      <c r="X148" s="286"/>
      <c r="Y148" s="286"/>
      <c r="Z148" s="286"/>
      <c r="AA148" s="286"/>
      <c r="AB148" s="32"/>
    </row>
    <row r="149" ht="14.25" customHeight="1">
      <c r="A149" s="32"/>
      <c r="B149" s="32"/>
      <c r="C149" s="32"/>
      <c r="D149" s="287"/>
      <c r="E149" s="277"/>
      <c r="F149" s="277"/>
      <c r="G149" s="277"/>
      <c r="H149" s="277"/>
      <c r="I149" s="277"/>
      <c r="J149" s="32"/>
      <c r="K149" s="278"/>
      <c r="L149" s="278"/>
      <c r="M149" s="32"/>
      <c r="N149" s="219"/>
      <c r="O149" s="272"/>
      <c r="P149" s="32"/>
      <c r="Q149" s="32"/>
      <c r="R149" s="32"/>
      <c r="S149" s="32"/>
      <c r="T149" s="32"/>
      <c r="U149" s="286"/>
      <c r="V149" s="286"/>
      <c r="W149" s="286"/>
      <c r="X149" s="286"/>
      <c r="Y149" s="286"/>
      <c r="Z149" s="286"/>
      <c r="AA149" s="286"/>
      <c r="AB149" s="32"/>
    </row>
    <row r="150" ht="14.25" customHeight="1">
      <c r="A150" s="32"/>
      <c r="B150" s="32"/>
      <c r="C150" s="32"/>
      <c r="D150" s="287"/>
      <c r="E150" s="277"/>
      <c r="F150" s="277"/>
      <c r="G150" s="277"/>
      <c r="H150" s="277"/>
      <c r="I150" s="277"/>
      <c r="J150" s="32"/>
      <c r="K150" s="278"/>
      <c r="L150" s="278"/>
      <c r="M150" s="32"/>
      <c r="N150" s="219"/>
      <c r="O150" s="272"/>
      <c r="P150" s="32"/>
      <c r="Q150" s="32"/>
      <c r="R150" s="32"/>
      <c r="S150" s="32"/>
      <c r="T150" s="32"/>
      <c r="U150" s="286"/>
      <c r="V150" s="286"/>
      <c r="W150" s="286"/>
      <c r="X150" s="286"/>
      <c r="Y150" s="286"/>
      <c r="Z150" s="286"/>
      <c r="AA150" s="286"/>
      <c r="AB150" s="32"/>
    </row>
    <row r="151" ht="14.25" customHeight="1">
      <c r="A151" s="32"/>
      <c r="B151" s="32"/>
      <c r="C151" s="32"/>
      <c r="D151" s="287"/>
      <c r="E151" s="277"/>
      <c r="F151" s="277"/>
      <c r="G151" s="277"/>
      <c r="H151" s="277"/>
      <c r="I151" s="277"/>
      <c r="J151" s="32"/>
      <c r="K151" s="278"/>
      <c r="L151" s="278"/>
      <c r="M151" s="32"/>
      <c r="N151" s="219"/>
      <c r="O151" s="272"/>
      <c r="P151" s="32"/>
      <c r="Q151" s="32"/>
      <c r="R151" s="32"/>
      <c r="S151" s="32"/>
      <c r="T151" s="32"/>
      <c r="U151" s="286"/>
      <c r="V151" s="286"/>
      <c r="W151" s="286"/>
      <c r="X151" s="286"/>
      <c r="Y151" s="286"/>
      <c r="Z151" s="286"/>
      <c r="AA151" s="286"/>
      <c r="AB151" s="32"/>
    </row>
    <row r="152" ht="14.25" customHeight="1">
      <c r="A152" s="32"/>
      <c r="B152" s="32"/>
      <c r="C152" s="32"/>
      <c r="D152" s="287"/>
      <c r="E152" s="277"/>
      <c r="F152" s="277"/>
      <c r="G152" s="277"/>
      <c r="H152" s="277"/>
      <c r="I152" s="277"/>
      <c r="J152" s="32"/>
      <c r="K152" s="278"/>
      <c r="L152" s="278"/>
      <c r="M152" s="32"/>
      <c r="N152" s="219"/>
      <c r="O152" s="272"/>
      <c r="P152" s="32"/>
      <c r="Q152" s="32"/>
      <c r="R152" s="32"/>
      <c r="S152" s="32"/>
      <c r="T152" s="32"/>
      <c r="U152" s="286"/>
      <c r="V152" s="286"/>
      <c r="W152" s="286"/>
      <c r="X152" s="286"/>
      <c r="Y152" s="286"/>
      <c r="Z152" s="286"/>
      <c r="AA152" s="286"/>
      <c r="AB152" s="32"/>
    </row>
    <row r="153" ht="14.25" customHeight="1">
      <c r="A153" s="32"/>
      <c r="B153" s="32"/>
      <c r="C153" s="32"/>
      <c r="D153" s="287"/>
      <c r="E153" s="277"/>
      <c r="F153" s="277"/>
      <c r="G153" s="277"/>
      <c r="H153" s="277"/>
      <c r="I153" s="277"/>
      <c r="J153" s="32"/>
      <c r="K153" s="278"/>
      <c r="L153" s="278"/>
      <c r="M153" s="32"/>
      <c r="N153" s="219"/>
      <c r="O153" s="272"/>
      <c r="P153" s="32"/>
      <c r="Q153" s="32"/>
      <c r="R153" s="32"/>
      <c r="S153" s="32"/>
      <c r="T153" s="32"/>
      <c r="U153" s="286"/>
      <c r="V153" s="286"/>
      <c r="W153" s="286"/>
      <c r="X153" s="286"/>
      <c r="Y153" s="286"/>
      <c r="Z153" s="286"/>
      <c r="AA153" s="286"/>
      <c r="AB153" s="32"/>
    </row>
    <row r="154" ht="14.25" customHeight="1">
      <c r="A154" s="32"/>
      <c r="B154" s="32"/>
      <c r="C154" s="32"/>
      <c r="D154" s="287"/>
      <c r="E154" s="277"/>
      <c r="F154" s="277"/>
      <c r="G154" s="277"/>
      <c r="H154" s="277"/>
      <c r="I154" s="277"/>
      <c r="J154" s="32"/>
      <c r="K154" s="278"/>
      <c r="L154" s="278"/>
      <c r="M154" s="32"/>
      <c r="N154" s="219"/>
      <c r="O154" s="272"/>
      <c r="P154" s="32"/>
      <c r="Q154" s="32"/>
      <c r="R154" s="32"/>
      <c r="S154" s="32"/>
      <c r="T154" s="32"/>
      <c r="U154" s="286"/>
      <c r="V154" s="286"/>
      <c r="W154" s="286"/>
      <c r="X154" s="286"/>
      <c r="Y154" s="286"/>
      <c r="Z154" s="286"/>
      <c r="AA154" s="286"/>
      <c r="AB154" s="32"/>
    </row>
    <row r="155" ht="14.25" customHeight="1">
      <c r="A155" s="32"/>
      <c r="B155" s="32"/>
      <c r="C155" s="32"/>
      <c r="D155" s="287"/>
      <c r="E155" s="277"/>
      <c r="F155" s="277"/>
      <c r="G155" s="277"/>
      <c r="H155" s="277"/>
      <c r="I155" s="277"/>
      <c r="J155" s="32"/>
      <c r="K155" s="278"/>
      <c r="L155" s="278"/>
      <c r="M155" s="32"/>
      <c r="N155" s="219"/>
      <c r="O155" s="27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4.25" customHeight="1">
      <c r="A156" s="32"/>
      <c r="B156" s="32"/>
      <c r="C156" s="32"/>
      <c r="D156" s="287"/>
      <c r="E156" s="277"/>
      <c r="F156" s="277"/>
      <c r="G156" s="277"/>
      <c r="H156" s="277"/>
      <c r="I156" s="277"/>
      <c r="J156" s="32"/>
      <c r="K156" s="278"/>
      <c r="L156" s="278"/>
      <c r="M156" s="32"/>
      <c r="N156" s="219"/>
      <c r="O156" s="27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4.25" customHeight="1">
      <c r="A157" s="32"/>
      <c r="B157" s="32"/>
      <c r="C157" s="32"/>
      <c r="D157" s="287"/>
      <c r="E157" s="277"/>
      <c r="F157" s="277"/>
      <c r="G157" s="277"/>
      <c r="H157" s="277"/>
      <c r="I157" s="277"/>
      <c r="J157" s="32"/>
      <c r="K157" s="278"/>
      <c r="L157" s="278"/>
      <c r="M157" s="32"/>
      <c r="N157" s="219"/>
      <c r="O157" s="27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4.25" customHeight="1">
      <c r="A158" s="32"/>
      <c r="B158" s="32"/>
      <c r="C158" s="32"/>
      <c r="D158" s="287"/>
      <c r="E158" s="277"/>
      <c r="F158" s="277"/>
      <c r="G158" s="277"/>
      <c r="H158" s="277"/>
      <c r="I158" s="277"/>
      <c r="J158" s="32"/>
      <c r="K158" s="278"/>
      <c r="L158" s="278"/>
      <c r="M158" s="32"/>
      <c r="N158" s="219"/>
      <c r="O158" s="27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4.25" customHeight="1">
      <c r="A159" s="32"/>
      <c r="B159" s="32"/>
      <c r="C159" s="32"/>
      <c r="D159" s="287"/>
      <c r="E159" s="277"/>
      <c r="F159" s="277"/>
      <c r="G159" s="277"/>
      <c r="H159" s="277"/>
      <c r="I159" s="277"/>
      <c r="J159" s="32"/>
      <c r="K159" s="278"/>
      <c r="L159" s="278"/>
      <c r="M159" s="32"/>
      <c r="N159" s="219"/>
      <c r="O159" s="27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4.25" customHeight="1">
      <c r="A160" s="32"/>
      <c r="B160" s="32"/>
      <c r="C160" s="32"/>
      <c r="D160" s="287"/>
      <c r="E160" s="277"/>
      <c r="F160" s="277"/>
      <c r="G160" s="277"/>
      <c r="H160" s="277"/>
      <c r="I160" s="277"/>
      <c r="J160" s="32"/>
      <c r="K160" s="278"/>
      <c r="L160" s="278"/>
      <c r="M160" s="32"/>
      <c r="N160" s="219"/>
      <c r="O160" s="27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4.25" customHeight="1">
      <c r="A161" s="32"/>
      <c r="B161" s="32"/>
      <c r="C161" s="32"/>
      <c r="D161" s="287"/>
      <c r="E161" s="277"/>
      <c r="F161" s="277"/>
      <c r="G161" s="277"/>
      <c r="H161" s="277"/>
      <c r="I161" s="277"/>
      <c r="J161" s="32"/>
      <c r="K161" s="278"/>
      <c r="L161" s="278"/>
      <c r="M161" s="32"/>
      <c r="N161" s="219"/>
      <c r="O161" s="27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4.25" customHeight="1">
      <c r="A162" s="32"/>
      <c r="B162" s="32"/>
      <c r="C162" s="32"/>
      <c r="D162" s="287"/>
      <c r="E162" s="277"/>
      <c r="F162" s="277"/>
      <c r="G162" s="277"/>
      <c r="H162" s="277"/>
      <c r="I162" s="277"/>
      <c r="J162" s="32"/>
      <c r="K162" s="278"/>
      <c r="L162" s="278"/>
      <c r="M162" s="32"/>
      <c r="N162" s="219"/>
      <c r="O162" s="27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4.25" customHeight="1">
      <c r="A163" s="32"/>
      <c r="B163" s="32"/>
      <c r="C163" s="32"/>
      <c r="D163" s="287"/>
      <c r="E163" s="277"/>
      <c r="F163" s="277"/>
      <c r="G163" s="277"/>
      <c r="H163" s="277"/>
      <c r="I163" s="277"/>
      <c r="J163" s="32"/>
      <c r="K163" s="278"/>
      <c r="L163" s="278"/>
      <c r="M163" s="32"/>
      <c r="N163" s="219"/>
      <c r="O163" s="27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4.25" customHeight="1">
      <c r="A164" s="32"/>
      <c r="B164" s="32"/>
      <c r="C164" s="32"/>
      <c r="D164" s="287"/>
      <c r="E164" s="277"/>
      <c r="F164" s="277"/>
      <c r="G164" s="277"/>
      <c r="H164" s="277"/>
      <c r="I164" s="277"/>
      <c r="J164" s="32"/>
      <c r="K164" s="278"/>
      <c r="L164" s="278"/>
      <c r="M164" s="32"/>
      <c r="N164" s="219"/>
      <c r="O164" s="27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4.25" customHeight="1">
      <c r="A165" s="32"/>
      <c r="B165" s="32"/>
      <c r="C165" s="32"/>
      <c r="D165" s="287"/>
      <c r="E165" s="277"/>
      <c r="F165" s="277"/>
      <c r="G165" s="277"/>
      <c r="H165" s="277"/>
      <c r="I165" s="277"/>
      <c r="J165" s="32"/>
      <c r="K165" s="278"/>
      <c r="L165" s="278"/>
      <c r="M165" s="32"/>
      <c r="N165" s="219"/>
      <c r="O165" s="27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4.25" customHeight="1">
      <c r="A166" s="32"/>
      <c r="B166" s="32"/>
      <c r="C166" s="32"/>
      <c r="D166" s="287"/>
      <c r="E166" s="277"/>
      <c r="F166" s="277"/>
      <c r="G166" s="277"/>
      <c r="H166" s="277"/>
      <c r="I166" s="277"/>
      <c r="J166" s="32"/>
      <c r="K166" s="278"/>
      <c r="L166" s="278"/>
      <c r="M166" s="32"/>
      <c r="N166" s="219"/>
      <c r="O166" s="27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4.25" customHeight="1">
      <c r="A167" s="32"/>
      <c r="B167" s="32"/>
      <c r="C167" s="32"/>
      <c r="D167" s="287"/>
      <c r="E167" s="277"/>
      <c r="F167" s="277"/>
      <c r="G167" s="277"/>
      <c r="H167" s="277"/>
      <c r="I167" s="277"/>
      <c r="J167" s="32"/>
      <c r="K167" s="278"/>
      <c r="L167" s="278"/>
      <c r="M167" s="32"/>
      <c r="N167" s="219"/>
      <c r="O167" s="27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4.25" customHeight="1">
      <c r="A168" s="32"/>
      <c r="B168" s="32"/>
      <c r="C168" s="32"/>
      <c r="D168" s="287"/>
      <c r="E168" s="277"/>
      <c r="F168" s="277"/>
      <c r="G168" s="277"/>
      <c r="H168" s="277"/>
      <c r="I168" s="277"/>
      <c r="J168" s="32"/>
      <c r="K168" s="278"/>
      <c r="L168" s="278"/>
      <c r="M168" s="32"/>
      <c r="N168" s="219"/>
      <c r="O168" s="27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4.25" customHeight="1">
      <c r="A169" s="32"/>
      <c r="B169" s="32"/>
      <c r="C169" s="32"/>
      <c r="D169" s="287"/>
      <c r="E169" s="277"/>
      <c r="F169" s="277"/>
      <c r="G169" s="277"/>
      <c r="H169" s="277"/>
      <c r="I169" s="277"/>
      <c r="J169" s="32"/>
      <c r="K169" s="278"/>
      <c r="L169" s="278"/>
      <c r="M169" s="32"/>
      <c r="N169" s="219"/>
      <c r="O169" s="27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4.25" customHeight="1">
      <c r="A170" s="32"/>
      <c r="B170" s="32"/>
      <c r="C170" s="32"/>
      <c r="D170" s="287"/>
      <c r="E170" s="277"/>
      <c r="F170" s="277"/>
      <c r="G170" s="277"/>
      <c r="H170" s="277"/>
      <c r="I170" s="277"/>
      <c r="J170" s="32"/>
      <c r="K170" s="278"/>
      <c r="L170" s="278"/>
      <c r="M170" s="32"/>
      <c r="N170" s="219"/>
      <c r="O170" s="27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4.25" customHeight="1">
      <c r="A171" s="32"/>
      <c r="B171" s="32"/>
      <c r="C171" s="32"/>
      <c r="D171" s="287"/>
      <c r="E171" s="277"/>
      <c r="F171" s="277"/>
      <c r="G171" s="277"/>
      <c r="H171" s="277"/>
      <c r="I171" s="277"/>
      <c r="J171" s="32"/>
      <c r="K171" s="278"/>
      <c r="L171" s="278"/>
      <c r="M171" s="32"/>
      <c r="N171" s="219"/>
      <c r="O171" s="27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4.25" customHeight="1">
      <c r="A172" s="32"/>
      <c r="B172" s="32"/>
      <c r="C172" s="32"/>
      <c r="D172" s="287"/>
      <c r="E172" s="277"/>
      <c r="F172" s="277"/>
      <c r="G172" s="277"/>
      <c r="H172" s="277"/>
      <c r="I172" s="277"/>
      <c r="J172" s="32"/>
      <c r="K172" s="278"/>
      <c r="L172" s="278"/>
      <c r="M172" s="32"/>
      <c r="N172" s="219"/>
      <c r="O172" s="27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4.25" customHeight="1">
      <c r="A173" s="32"/>
      <c r="B173" s="32"/>
      <c r="C173" s="32"/>
      <c r="D173" s="287"/>
      <c r="E173" s="277"/>
      <c r="F173" s="277"/>
      <c r="G173" s="277"/>
      <c r="H173" s="277"/>
      <c r="I173" s="277"/>
      <c r="J173" s="32"/>
      <c r="K173" s="278"/>
      <c r="L173" s="278"/>
      <c r="M173" s="32"/>
      <c r="N173" s="219"/>
      <c r="O173" s="27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4.25" customHeight="1">
      <c r="A174" s="32"/>
      <c r="B174" s="32"/>
      <c r="C174" s="32"/>
      <c r="D174" s="287"/>
      <c r="E174" s="277"/>
      <c r="F174" s="277"/>
      <c r="G174" s="277"/>
      <c r="H174" s="277"/>
      <c r="I174" s="277"/>
      <c r="J174" s="32"/>
      <c r="K174" s="278"/>
      <c r="L174" s="278"/>
      <c r="M174" s="32"/>
      <c r="N174" s="219"/>
      <c r="O174" s="27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4.25" customHeight="1">
      <c r="A175" s="32"/>
      <c r="B175" s="32"/>
      <c r="C175" s="32"/>
      <c r="D175" s="287"/>
      <c r="E175" s="277"/>
      <c r="F175" s="277"/>
      <c r="G175" s="277"/>
      <c r="H175" s="277"/>
      <c r="I175" s="277"/>
      <c r="J175" s="32"/>
      <c r="K175" s="278"/>
      <c r="L175" s="278"/>
      <c r="M175" s="32"/>
      <c r="N175" s="219"/>
      <c r="O175" s="27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4.25" customHeight="1">
      <c r="A176" s="32"/>
      <c r="B176" s="32"/>
      <c r="C176" s="32"/>
      <c r="D176" s="287"/>
      <c r="E176" s="277"/>
      <c r="F176" s="277"/>
      <c r="G176" s="277"/>
      <c r="H176" s="277"/>
      <c r="I176" s="277"/>
      <c r="J176" s="32"/>
      <c r="K176" s="278"/>
      <c r="L176" s="278"/>
      <c r="M176" s="32"/>
      <c r="N176" s="219"/>
      <c r="O176" s="27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4.25" customHeight="1">
      <c r="A177" s="32"/>
      <c r="B177" s="32"/>
      <c r="C177" s="32"/>
      <c r="D177" s="287"/>
      <c r="E177" s="277"/>
      <c r="F177" s="277"/>
      <c r="G177" s="277"/>
      <c r="H177" s="277"/>
      <c r="I177" s="277"/>
      <c r="J177" s="32"/>
      <c r="K177" s="278"/>
      <c r="L177" s="278"/>
      <c r="M177" s="32"/>
      <c r="N177" s="219"/>
      <c r="O177" s="27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4.25" customHeight="1">
      <c r="A178" s="32"/>
      <c r="B178" s="32"/>
      <c r="C178" s="32"/>
      <c r="D178" s="287"/>
      <c r="E178" s="277"/>
      <c r="F178" s="277"/>
      <c r="G178" s="277"/>
      <c r="H178" s="277"/>
      <c r="I178" s="277"/>
      <c r="J178" s="32"/>
      <c r="K178" s="278"/>
      <c r="L178" s="278"/>
      <c r="M178" s="32"/>
      <c r="N178" s="219"/>
      <c r="O178" s="27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4.25" customHeight="1">
      <c r="A179" s="32"/>
      <c r="B179" s="32"/>
      <c r="C179" s="32"/>
      <c r="D179" s="287"/>
      <c r="E179" s="277"/>
      <c r="F179" s="277"/>
      <c r="G179" s="277"/>
      <c r="H179" s="277"/>
      <c r="I179" s="277"/>
      <c r="J179" s="32"/>
      <c r="K179" s="278"/>
      <c r="L179" s="278"/>
      <c r="M179" s="32"/>
      <c r="N179" s="219"/>
      <c r="O179" s="27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4.25" customHeight="1">
      <c r="A180" s="32"/>
      <c r="B180" s="32"/>
      <c r="C180" s="32"/>
      <c r="D180" s="287"/>
      <c r="E180" s="277"/>
      <c r="F180" s="277"/>
      <c r="G180" s="277"/>
      <c r="H180" s="277"/>
      <c r="I180" s="277"/>
      <c r="J180" s="32"/>
      <c r="K180" s="278"/>
      <c r="L180" s="278"/>
      <c r="M180" s="32"/>
      <c r="N180" s="219"/>
      <c r="O180" s="27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4.25" customHeight="1">
      <c r="A181" s="32"/>
      <c r="B181" s="32"/>
      <c r="C181" s="32"/>
      <c r="D181" s="287"/>
      <c r="E181" s="277"/>
      <c r="F181" s="277"/>
      <c r="G181" s="277"/>
      <c r="H181" s="277"/>
      <c r="I181" s="277"/>
      <c r="J181" s="32"/>
      <c r="K181" s="278"/>
      <c r="L181" s="278"/>
      <c r="M181" s="32"/>
      <c r="N181" s="219"/>
      <c r="O181" s="27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4.25" customHeight="1">
      <c r="A182" s="32"/>
      <c r="B182" s="32"/>
      <c r="C182" s="32"/>
      <c r="D182" s="287"/>
      <c r="E182" s="277"/>
      <c r="F182" s="277"/>
      <c r="G182" s="277"/>
      <c r="H182" s="277"/>
      <c r="I182" s="277"/>
      <c r="J182" s="32"/>
      <c r="K182" s="278"/>
      <c r="L182" s="278"/>
      <c r="M182" s="32"/>
      <c r="N182" s="219"/>
      <c r="O182" s="27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4.25" customHeight="1">
      <c r="A183" s="32"/>
      <c r="B183" s="32"/>
      <c r="C183" s="32"/>
      <c r="D183" s="287"/>
      <c r="E183" s="277"/>
      <c r="F183" s="277"/>
      <c r="G183" s="277"/>
      <c r="H183" s="277"/>
      <c r="I183" s="277"/>
      <c r="J183" s="32"/>
      <c r="K183" s="278"/>
      <c r="L183" s="278"/>
      <c r="M183" s="32"/>
      <c r="N183" s="219"/>
      <c r="O183" s="27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4.25" customHeight="1">
      <c r="A184" s="32"/>
      <c r="B184" s="32"/>
      <c r="C184" s="32"/>
      <c r="D184" s="287"/>
      <c r="E184" s="277"/>
      <c r="F184" s="277"/>
      <c r="G184" s="277"/>
      <c r="H184" s="277"/>
      <c r="I184" s="277"/>
      <c r="J184" s="32"/>
      <c r="K184" s="278"/>
      <c r="L184" s="278"/>
      <c r="M184" s="32"/>
      <c r="N184" s="219"/>
      <c r="O184" s="27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4.25" customHeight="1">
      <c r="A185" s="32"/>
      <c r="B185" s="32"/>
      <c r="C185" s="32"/>
      <c r="D185" s="287"/>
      <c r="E185" s="277"/>
      <c r="F185" s="277"/>
      <c r="G185" s="277"/>
      <c r="H185" s="277"/>
      <c r="I185" s="277"/>
      <c r="J185" s="32"/>
      <c r="K185" s="278"/>
      <c r="L185" s="278"/>
      <c r="M185" s="32"/>
      <c r="N185" s="219"/>
      <c r="O185" s="27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4.25" customHeight="1">
      <c r="A186" s="32"/>
      <c r="B186" s="32"/>
      <c r="C186" s="32"/>
      <c r="D186" s="287"/>
      <c r="E186" s="277"/>
      <c r="F186" s="277"/>
      <c r="G186" s="277"/>
      <c r="H186" s="277"/>
      <c r="I186" s="277"/>
      <c r="J186" s="32"/>
      <c r="K186" s="278"/>
      <c r="L186" s="278"/>
      <c r="M186" s="32"/>
      <c r="N186" s="219"/>
      <c r="O186" s="27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4.25" customHeight="1">
      <c r="A187" s="32"/>
      <c r="B187" s="32"/>
      <c r="C187" s="32"/>
      <c r="D187" s="287"/>
      <c r="E187" s="277"/>
      <c r="F187" s="277"/>
      <c r="G187" s="277"/>
      <c r="H187" s="277"/>
      <c r="I187" s="277"/>
      <c r="J187" s="32"/>
      <c r="K187" s="278"/>
      <c r="L187" s="278"/>
      <c r="M187" s="32"/>
      <c r="N187" s="219"/>
      <c r="O187" s="27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4.25" customHeight="1">
      <c r="A188" s="32"/>
      <c r="B188" s="32"/>
      <c r="C188" s="32"/>
      <c r="D188" s="287"/>
      <c r="E188" s="277"/>
      <c r="F188" s="277"/>
      <c r="G188" s="277"/>
      <c r="H188" s="277"/>
      <c r="I188" s="277"/>
      <c r="J188" s="32"/>
      <c r="K188" s="278"/>
      <c r="L188" s="278"/>
      <c r="M188" s="32"/>
      <c r="N188" s="219"/>
      <c r="O188" s="27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4.25" customHeight="1">
      <c r="A189" s="32"/>
      <c r="B189" s="32"/>
      <c r="C189" s="32"/>
      <c r="D189" s="287"/>
      <c r="E189" s="277"/>
      <c r="F189" s="277"/>
      <c r="G189" s="277"/>
      <c r="H189" s="277"/>
      <c r="I189" s="277"/>
      <c r="J189" s="32"/>
      <c r="K189" s="278"/>
      <c r="L189" s="278"/>
      <c r="M189" s="32"/>
      <c r="N189" s="219"/>
      <c r="O189" s="27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4.25" customHeight="1">
      <c r="A190" s="32"/>
      <c r="B190" s="32"/>
      <c r="C190" s="32"/>
      <c r="D190" s="287"/>
      <c r="E190" s="277"/>
      <c r="F190" s="277"/>
      <c r="G190" s="277"/>
      <c r="H190" s="277"/>
      <c r="I190" s="277"/>
      <c r="J190" s="32"/>
      <c r="K190" s="278"/>
      <c r="L190" s="278"/>
      <c r="M190" s="32"/>
      <c r="N190" s="219"/>
      <c r="O190" s="27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4.25" customHeight="1">
      <c r="A191" s="32"/>
      <c r="B191" s="32"/>
      <c r="C191" s="32"/>
      <c r="D191" s="287"/>
      <c r="E191" s="277"/>
      <c r="F191" s="277"/>
      <c r="G191" s="277"/>
      <c r="H191" s="277"/>
      <c r="I191" s="277"/>
      <c r="J191" s="32"/>
      <c r="K191" s="278"/>
      <c r="L191" s="278"/>
      <c r="M191" s="32"/>
      <c r="N191" s="219"/>
      <c r="O191" s="27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4.25" customHeight="1">
      <c r="A192" s="32"/>
      <c r="B192" s="32"/>
      <c r="C192" s="32"/>
      <c r="D192" s="287"/>
      <c r="E192" s="277"/>
      <c r="F192" s="277"/>
      <c r="G192" s="277"/>
      <c r="H192" s="277"/>
      <c r="I192" s="277"/>
      <c r="J192" s="32"/>
      <c r="K192" s="278"/>
      <c r="L192" s="278"/>
      <c r="M192" s="32"/>
      <c r="N192" s="219"/>
      <c r="O192" s="27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4.25" customHeight="1">
      <c r="A193" s="32"/>
      <c r="B193" s="32"/>
      <c r="C193" s="32"/>
      <c r="D193" s="287"/>
      <c r="E193" s="277"/>
      <c r="F193" s="277"/>
      <c r="G193" s="277"/>
      <c r="H193" s="277"/>
      <c r="I193" s="277"/>
      <c r="J193" s="32"/>
      <c r="K193" s="278"/>
      <c r="L193" s="278"/>
      <c r="M193" s="32"/>
      <c r="N193" s="219"/>
      <c r="O193" s="27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4.25" customHeight="1">
      <c r="A194" s="32"/>
      <c r="B194" s="32"/>
      <c r="C194" s="32"/>
      <c r="D194" s="287"/>
      <c r="E194" s="277"/>
      <c r="F194" s="277"/>
      <c r="G194" s="277"/>
      <c r="H194" s="277"/>
      <c r="I194" s="277"/>
      <c r="J194" s="32"/>
      <c r="K194" s="278"/>
      <c r="L194" s="278"/>
      <c r="M194" s="32"/>
      <c r="N194" s="219"/>
      <c r="O194" s="27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4.25" customHeight="1">
      <c r="A195" s="32"/>
      <c r="B195" s="32"/>
      <c r="C195" s="32"/>
      <c r="D195" s="287"/>
      <c r="E195" s="277"/>
      <c r="F195" s="277"/>
      <c r="G195" s="277"/>
      <c r="H195" s="277"/>
      <c r="I195" s="277"/>
      <c r="J195" s="32"/>
      <c r="K195" s="278"/>
      <c r="L195" s="278"/>
      <c r="M195" s="32"/>
      <c r="N195" s="219"/>
      <c r="O195" s="27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4.25" customHeight="1">
      <c r="A196" s="32"/>
      <c r="B196" s="32"/>
      <c r="C196" s="32"/>
      <c r="D196" s="287"/>
      <c r="E196" s="277"/>
      <c r="F196" s="277"/>
      <c r="G196" s="277"/>
      <c r="H196" s="277"/>
      <c r="I196" s="277"/>
      <c r="J196" s="32"/>
      <c r="K196" s="278"/>
      <c r="L196" s="278"/>
      <c r="M196" s="32"/>
      <c r="N196" s="219"/>
      <c r="O196" s="27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4.25" customHeight="1">
      <c r="A197" s="32"/>
      <c r="B197" s="32"/>
      <c r="C197" s="32"/>
      <c r="D197" s="287"/>
      <c r="E197" s="277"/>
      <c r="F197" s="277"/>
      <c r="G197" s="277"/>
      <c r="H197" s="277"/>
      <c r="I197" s="277"/>
      <c r="J197" s="32"/>
      <c r="K197" s="278"/>
      <c r="L197" s="278"/>
      <c r="M197" s="32"/>
      <c r="N197" s="219"/>
      <c r="O197" s="27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4.25" customHeight="1">
      <c r="A198" s="32"/>
      <c r="B198" s="32"/>
      <c r="C198" s="32"/>
      <c r="D198" s="287"/>
      <c r="E198" s="277"/>
      <c r="F198" s="277"/>
      <c r="G198" s="277"/>
      <c r="H198" s="277"/>
      <c r="I198" s="277"/>
      <c r="J198" s="32"/>
      <c r="K198" s="278"/>
      <c r="L198" s="278"/>
      <c r="M198" s="32"/>
      <c r="N198" s="219"/>
      <c r="O198" s="27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4.25" customHeight="1">
      <c r="A199" s="32"/>
      <c r="B199" s="32"/>
      <c r="C199" s="32"/>
      <c r="D199" s="287"/>
      <c r="E199" s="277"/>
      <c r="F199" s="277"/>
      <c r="G199" s="277"/>
      <c r="H199" s="277"/>
      <c r="I199" s="277"/>
      <c r="J199" s="32"/>
      <c r="K199" s="278"/>
      <c r="L199" s="278"/>
      <c r="M199" s="32"/>
      <c r="N199" s="219"/>
      <c r="O199" s="27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4.25" customHeight="1">
      <c r="A200" s="32"/>
      <c r="B200" s="32"/>
      <c r="C200" s="32"/>
      <c r="D200" s="287"/>
      <c r="E200" s="277"/>
      <c r="F200" s="277"/>
      <c r="G200" s="277"/>
      <c r="H200" s="277"/>
      <c r="I200" s="277"/>
      <c r="J200" s="32"/>
      <c r="K200" s="278"/>
      <c r="L200" s="278"/>
      <c r="M200" s="32"/>
      <c r="N200" s="219"/>
      <c r="O200" s="27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4.25" customHeight="1">
      <c r="A201" s="32"/>
      <c r="B201" s="32"/>
      <c r="C201" s="32"/>
      <c r="D201" s="287"/>
      <c r="E201" s="277"/>
      <c r="F201" s="277"/>
      <c r="G201" s="277"/>
      <c r="H201" s="277"/>
      <c r="I201" s="277"/>
      <c r="J201" s="32"/>
      <c r="K201" s="278"/>
      <c r="L201" s="278"/>
      <c r="M201" s="32"/>
      <c r="N201" s="219"/>
      <c r="O201" s="27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4.25" customHeight="1">
      <c r="A202" s="32"/>
      <c r="B202" s="32"/>
      <c r="C202" s="32"/>
      <c r="D202" s="287"/>
      <c r="E202" s="277"/>
      <c r="F202" s="277"/>
      <c r="G202" s="277"/>
      <c r="H202" s="277"/>
      <c r="I202" s="277"/>
      <c r="J202" s="32"/>
      <c r="K202" s="278"/>
      <c r="L202" s="278"/>
      <c r="M202" s="32"/>
      <c r="N202" s="219"/>
      <c r="O202" s="27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4.25" customHeight="1">
      <c r="A203" s="32"/>
      <c r="B203" s="32"/>
      <c r="C203" s="32"/>
      <c r="D203" s="287"/>
      <c r="E203" s="277"/>
      <c r="F203" s="277"/>
      <c r="G203" s="277"/>
      <c r="H203" s="277"/>
      <c r="I203" s="277"/>
      <c r="J203" s="32"/>
      <c r="K203" s="278"/>
      <c r="L203" s="278"/>
      <c r="M203" s="32"/>
      <c r="N203" s="219"/>
      <c r="O203" s="27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4.25" customHeight="1">
      <c r="A204" s="32"/>
      <c r="B204" s="32"/>
      <c r="C204" s="32"/>
      <c r="D204" s="287"/>
      <c r="E204" s="277"/>
      <c r="F204" s="277"/>
      <c r="G204" s="277"/>
      <c r="H204" s="277"/>
      <c r="I204" s="277"/>
      <c r="J204" s="32"/>
      <c r="K204" s="278"/>
      <c r="L204" s="278"/>
      <c r="M204" s="32"/>
      <c r="N204" s="219"/>
      <c r="O204" s="27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4.25" customHeight="1">
      <c r="A205" s="32"/>
      <c r="B205" s="32"/>
      <c r="C205" s="32"/>
      <c r="D205" s="287"/>
      <c r="E205" s="277"/>
      <c r="F205" s="277"/>
      <c r="G205" s="277"/>
      <c r="H205" s="277"/>
      <c r="I205" s="277"/>
      <c r="J205" s="32"/>
      <c r="K205" s="278"/>
      <c r="L205" s="278"/>
      <c r="M205" s="32"/>
      <c r="N205" s="219"/>
      <c r="O205" s="27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4.25" customHeight="1">
      <c r="A206" s="32"/>
      <c r="B206" s="32"/>
      <c r="C206" s="32"/>
      <c r="D206" s="287"/>
      <c r="E206" s="277"/>
      <c r="F206" s="277"/>
      <c r="G206" s="277"/>
      <c r="H206" s="277"/>
      <c r="I206" s="277"/>
      <c r="J206" s="32"/>
      <c r="K206" s="278"/>
      <c r="L206" s="278"/>
      <c r="M206" s="32"/>
      <c r="N206" s="219"/>
      <c r="O206" s="27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4.25" customHeight="1">
      <c r="A207" s="32"/>
      <c r="B207" s="32"/>
      <c r="C207" s="32"/>
      <c r="D207" s="287"/>
      <c r="E207" s="277"/>
      <c r="F207" s="277"/>
      <c r="G207" s="277"/>
      <c r="H207" s="277"/>
      <c r="I207" s="277"/>
      <c r="J207" s="32"/>
      <c r="K207" s="278"/>
      <c r="L207" s="278"/>
      <c r="M207" s="32"/>
      <c r="N207" s="219"/>
      <c r="O207" s="27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4.25" customHeight="1">
      <c r="A208" s="32"/>
      <c r="B208" s="32"/>
      <c r="C208" s="32"/>
      <c r="D208" s="287"/>
      <c r="E208" s="277"/>
      <c r="F208" s="277"/>
      <c r="G208" s="277"/>
      <c r="H208" s="277"/>
      <c r="I208" s="277"/>
      <c r="J208" s="32"/>
      <c r="K208" s="278"/>
      <c r="L208" s="278"/>
      <c r="M208" s="32"/>
      <c r="N208" s="219"/>
      <c r="O208" s="27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4.25" customHeight="1">
      <c r="A209" s="32"/>
      <c r="B209" s="32"/>
      <c r="C209" s="32"/>
      <c r="D209" s="287"/>
      <c r="E209" s="277"/>
      <c r="F209" s="277"/>
      <c r="G209" s="277"/>
      <c r="H209" s="277"/>
      <c r="I209" s="277"/>
      <c r="J209" s="32"/>
      <c r="K209" s="278"/>
      <c r="L209" s="278"/>
      <c r="M209" s="32"/>
      <c r="N209" s="219"/>
      <c r="O209" s="27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4.25" customHeight="1">
      <c r="A210" s="32"/>
      <c r="B210" s="32"/>
      <c r="C210" s="32"/>
      <c r="D210" s="287"/>
      <c r="E210" s="277"/>
      <c r="F210" s="277"/>
      <c r="G210" s="277"/>
      <c r="H210" s="277"/>
      <c r="I210" s="277"/>
      <c r="J210" s="32"/>
      <c r="K210" s="278"/>
      <c r="L210" s="278"/>
      <c r="M210" s="32"/>
      <c r="N210" s="219"/>
      <c r="O210" s="27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4.25" customHeight="1">
      <c r="A211" s="32"/>
      <c r="B211" s="32"/>
      <c r="C211" s="32"/>
      <c r="D211" s="287"/>
      <c r="E211" s="277"/>
      <c r="F211" s="277"/>
      <c r="G211" s="277"/>
      <c r="H211" s="277"/>
      <c r="I211" s="277"/>
      <c r="J211" s="32"/>
      <c r="K211" s="278"/>
      <c r="L211" s="278"/>
      <c r="M211" s="32"/>
      <c r="N211" s="219"/>
      <c r="O211" s="27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ht="14.25" customHeight="1">
      <c r="A212" s="32"/>
      <c r="B212" s="32"/>
      <c r="C212" s="32"/>
      <c r="D212" s="287"/>
      <c r="E212" s="277"/>
      <c r="F212" s="277"/>
      <c r="G212" s="277"/>
      <c r="H212" s="277"/>
      <c r="I212" s="277"/>
      <c r="J212" s="32"/>
      <c r="K212" s="278"/>
      <c r="L212" s="278"/>
      <c r="M212" s="32"/>
      <c r="N212" s="219"/>
      <c r="O212" s="27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4.25" customHeight="1">
      <c r="A213" s="32"/>
      <c r="B213" s="32"/>
      <c r="C213" s="32"/>
      <c r="D213" s="287"/>
      <c r="E213" s="277"/>
      <c r="F213" s="277"/>
      <c r="G213" s="277"/>
      <c r="H213" s="277"/>
      <c r="I213" s="277"/>
      <c r="J213" s="32"/>
      <c r="K213" s="278"/>
      <c r="L213" s="278"/>
      <c r="M213" s="32"/>
      <c r="N213" s="219"/>
      <c r="O213" s="27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4.25" customHeight="1">
      <c r="A214" s="32"/>
      <c r="B214" s="32"/>
      <c r="C214" s="32"/>
      <c r="D214" s="287"/>
      <c r="E214" s="277"/>
      <c r="F214" s="277"/>
      <c r="G214" s="277"/>
      <c r="H214" s="277"/>
      <c r="I214" s="277"/>
      <c r="J214" s="32"/>
      <c r="K214" s="278"/>
      <c r="L214" s="278"/>
      <c r="M214" s="32"/>
      <c r="N214" s="219"/>
      <c r="O214" s="27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4.25" customHeight="1">
      <c r="A215" s="32"/>
      <c r="B215" s="32"/>
      <c r="C215" s="32"/>
      <c r="D215" s="287"/>
      <c r="E215" s="277"/>
      <c r="F215" s="277"/>
      <c r="G215" s="277"/>
      <c r="H215" s="277"/>
      <c r="I215" s="277"/>
      <c r="J215" s="32"/>
      <c r="K215" s="278"/>
      <c r="L215" s="278"/>
      <c r="M215" s="32"/>
      <c r="N215" s="219"/>
      <c r="O215" s="27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4.25" customHeight="1">
      <c r="A216" s="32"/>
      <c r="B216" s="32"/>
      <c r="C216" s="32"/>
      <c r="D216" s="287"/>
      <c r="E216" s="277"/>
      <c r="F216" s="277"/>
      <c r="G216" s="277"/>
      <c r="H216" s="277"/>
      <c r="I216" s="277"/>
      <c r="J216" s="32"/>
      <c r="K216" s="278"/>
      <c r="L216" s="278"/>
      <c r="M216" s="32"/>
      <c r="N216" s="219"/>
      <c r="O216" s="27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4.25" customHeight="1">
      <c r="A217" s="32"/>
      <c r="B217" s="32"/>
      <c r="C217" s="32"/>
      <c r="D217" s="287"/>
      <c r="E217" s="277"/>
      <c r="F217" s="277"/>
      <c r="G217" s="277"/>
      <c r="H217" s="277"/>
      <c r="I217" s="277"/>
      <c r="J217" s="32"/>
      <c r="K217" s="278"/>
      <c r="L217" s="278"/>
      <c r="M217" s="32"/>
      <c r="N217" s="219"/>
      <c r="O217" s="27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4.25" customHeight="1">
      <c r="A218" s="32"/>
      <c r="B218" s="32"/>
      <c r="C218" s="32"/>
      <c r="D218" s="287"/>
      <c r="E218" s="277"/>
      <c r="F218" s="277"/>
      <c r="G218" s="277"/>
      <c r="H218" s="277"/>
      <c r="I218" s="277"/>
      <c r="J218" s="32"/>
      <c r="K218" s="278"/>
      <c r="L218" s="278"/>
      <c r="M218" s="32"/>
      <c r="N218" s="219"/>
      <c r="O218" s="27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4.25" customHeight="1">
      <c r="A219" s="32"/>
      <c r="B219" s="32"/>
      <c r="C219" s="32"/>
      <c r="D219" s="287"/>
      <c r="E219" s="277"/>
      <c r="F219" s="277"/>
      <c r="G219" s="277"/>
      <c r="H219" s="277"/>
      <c r="I219" s="277"/>
      <c r="J219" s="32"/>
      <c r="K219" s="278"/>
      <c r="L219" s="278"/>
      <c r="M219" s="32"/>
      <c r="N219" s="219"/>
      <c r="O219" s="27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4.25" customHeight="1">
      <c r="A220" s="32"/>
      <c r="B220" s="32"/>
      <c r="C220" s="32"/>
      <c r="D220" s="287"/>
      <c r="E220" s="277"/>
      <c r="F220" s="277"/>
      <c r="G220" s="277"/>
      <c r="H220" s="277"/>
      <c r="I220" s="277"/>
      <c r="J220" s="32"/>
      <c r="K220" s="278"/>
      <c r="L220" s="278"/>
      <c r="M220" s="32"/>
      <c r="N220" s="219"/>
      <c r="O220" s="27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4.25" customHeight="1">
      <c r="A221" s="32"/>
      <c r="B221" s="32"/>
      <c r="C221" s="32"/>
      <c r="D221" s="287"/>
      <c r="E221" s="277"/>
      <c r="F221" s="277"/>
      <c r="G221" s="277"/>
      <c r="H221" s="277"/>
      <c r="I221" s="277"/>
      <c r="J221" s="32"/>
      <c r="K221" s="278"/>
      <c r="L221" s="278"/>
      <c r="M221" s="32"/>
      <c r="N221" s="219"/>
      <c r="O221" s="27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4.25" customHeight="1">
      <c r="A222" s="32"/>
      <c r="B222" s="32"/>
      <c r="C222" s="32"/>
      <c r="D222" s="287"/>
      <c r="E222" s="277"/>
      <c r="F222" s="277"/>
      <c r="G222" s="277"/>
      <c r="H222" s="277"/>
      <c r="I222" s="277"/>
      <c r="J222" s="32"/>
      <c r="K222" s="278"/>
      <c r="L222" s="278"/>
      <c r="M222" s="32"/>
      <c r="N222" s="219"/>
      <c r="O222" s="27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4.25" customHeight="1">
      <c r="A223" s="32"/>
      <c r="B223" s="32"/>
      <c r="C223" s="32"/>
      <c r="D223" s="287"/>
      <c r="E223" s="277"/>
      <c r="F223" s="277"/>
      <c r="G223" s="277"/>
      <c r="H223" s="277"/>
      <c r="I223" s="277"/>
      <c r="J223" s="32"/>
      <c r="K223" s="278"/>
      <c r="L223" s="278"/>
      <c r="M223" s="32"/>
      <c r="N223" s="219"/>
      <c r="O223" s="27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4.25" customHeight="1">
      <c r="A224" s="32"/>
      <c r="B224" s="32"/>
      <c r="C224" s="32"/>
      <c r="D224" s="287"/>
      <c r="E224" s="277"/>
      <c r="F224" s="277"/>
      <c r="G224" s="277"/>
      <c r="H224" s="277"/>
      <c r="I224" s="277"/>
      <c r="J224" s="32"/>
      <c r="K224" s="278"/>
      <c r="L224" s="278"/>
      <c r="M224" s="32"/>
      <c r="N224" s="219"/>
      <c r="O224" s="27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4.25" customHeight="1">
      <c r="A225" s="32"/>
      <c r="B225" s="32"/>
      <c r="C225" s="32"/>
      <c r="D225" s="287"/>
      <c r="E225" s="277"/>
      <c r="F225" s="277"/>
      <c r="G225" s="277"/>
      <c r="H225" s="277"/>
      <c r="I225" s="277"/>
      <c r="J225" s="32"/>
      <c r="K225" s="278"/>
      <c r="L225" s="278"/>
      <c r="M225" s="32"/>
      <c r="N225" s="219"/>
      <c r="O225" s="27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ht="14.25" customHeight="1">
      <c r="A226" s="32"/>
      <c r="B226" s="32"/>
      <c r="C226" s="32"/>
      <c r="D226" s="287"/>
      <c r="E226" s="277"/>
      <c r="F226" s="277"/>
      <c r="G226" s="277"/>
      <c r="H226" s="277"/>
      <c r="I226" s="277"/>
      <c r="J226" s="32"/>
      <c r="K226" s="278"/>
      <c r="L226" s="278"/>
      <c r="M226" s="32"/>
      <c r="N226" s="219"/>
      <c r="O226" s="27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ht="14.25" customHeight="1">
      <c r="A227" s="32"/>
      <c r="B227" s="32"/>
      <c r="C227" s="32"/>
      <c r="D227" s="287"/>
      <c r="E227" s="277"/>
      <c r="F227" s="277"/>
      <c r="G227" s="277"/>
      <c r="H227" s="277"/>
      <c r="I227" s="277"/>
      <c r="J227" s="32"/>
      <c r="K227" s="278"/>
      <c r="L227" s="278"/>
      <c r="M227" s="32"/>
      <c r="N227" s="219"/>
      <c r="O227" s="27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ht="14.25" customHeight="1">
      <c r="A228" s="32"/>
      <c r="B228" s="32"/>
      <c r="C228" s="32"/>
      <c r="D228" s="287"/>
      <c r="E228" s="277"/>
      <c r="F228" s="277"/>
      <c r="G228" s="277"/>
      <c r="H228" s="277"/>
      <c r="I228" s="277"/>
      <c r="J228" s="32"/>
      <c r="K228" s="278"/>
      <c r="L228" s="278"/>
      <c r="M228" s="32"/>
      <c r="N228" s="219"/>
      <c r="O228" s="27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ht="14.25" customHeight="1">
      <c r="A229" s="32"/>
      <c r="B229" s="32"/>
      <c r="C229" s="32"/>
      <c r="D229" s="287"/>
      <c r="E229" s="277"/>
      <c r="F229" s="277"/>
      <c r="G229" s="277"/>
      <c r="H229" s="277"/>
      <c r="I229" s="277"/>
      <c r="J229" s="32"/>
      <c r="K229" s="278"/>
      <c r="L229" s="278"/>
      <c r="M229" s="32"/>
      <c r="N229" s="219"/>
      <c r="O229" s="27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ht="14.25" customHeight="1">
      <c r="A230" s="32"/>
      <c r="B230" s="32"/>
      <c r="C230" s="32"/>
      <c r="D230" s="287"/>
      <c r="E230" s="277"/>
      <c r="F230" s="277"/>
      <c r="G230" s="277"/>
      <c r="H230" s="277"/>
      <c r="I230" s="277"/>
      <c r="J230" s="32"/>
      <c r="K230" s="278"/>
      <c r="L230" s="278"/>
      <c r="M230" s="32"/>
      <c r="N230" s="219"/>
      <c r="O230" s="27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ht="14.25" customHeight="1">
      <c r="A231" s="32"/>
      <c r="B231" s="32"/>
      <c r="C231" s="32"/>
      <c r="D231" s="287"/>
      <c r="E231" s="277"/>
      <c r="F231" s="277"/>
      <c r="G231" s="277"/>
      <c r="H231" s="277"/>
      <c r="I231" s="277"/>
      <c r="J231" s="32"/>
      <c r="K231" s="278"/>
      <c r="L231" s="278"/>
      <c r="M231" s="32"/>
      <c r="N231" s="219"/>
      <c r="O231" s="27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ht="14.25" customHeight="1">
      <c r="A232" s="32"/>
      <c r="B232" s="32"/>
      <c r="C232" s="32"/>
      <c r="D232" s="287"/>
      <c r="E232" s="277"/>
      <c r="F232" s="277"/>
      <c r="G232" s="277"/>
      <c r="H232" s="277"/>
      <c r="I232" s="277"/>
      <c r="J232" s="32"/>
      <c r="K232" s="278"/>
      <c r="L232" s="278"/>
      <c r="M232" s="32"/>
      <c r="N232" s="219"/>
      <c r="O232" s="27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4.25" customHeight="1">
      <c r="A233" s="32"/>
      <c r="B233" s="32"/>
      <c r="C233" s="32"/>
      <c r="D233" s="287"/>
      <c r="E233" s="277"/>
      <c r="F233" s="277"/>
      <c r="G233" s="277"/>
      <c r="H233" s="277"/>
      <c r="I233" s="277"/>
      <c r="J233" s="32"/>
      <c r="K233" s="278"/>
      <c r="L233" s="278"/>
      <c r="M233" s="32"/>
      <c r="N233" s="219"/>
      <c r="O233" s="27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4.25" customHeight="1">
      <c r="A234" s="32"/>
      <c r="B234" s="32"/>
      <c r="C234" s="32"/>
      <c r="D234" s="287"/>
      <c r="E234" s="277"/>
      <c r="F234" s="277"/>
      <c r="G234" s="277"/>
      <c r="H234" s="277"/>
      <c r="I234" s="277"/>
      <c r="J234" s="32"/>
      <c r="K234" s="278"/>
      <c r="L234" s="278"/>
      <c r="M234" s="32"/>
      <c r="N234" s="219"/>
      <c r="O234" s="27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4.25" customHeight="1">
      <c r="A235" s="32"/>
      <c r="B235" s="32"/>
      <c r="C235" s="32"/>
      <c r="D235" s="287"/>
      <c r="E235" s="277"/>
      <c r="F235" s="277"/>
      <c r="G235" s="277"/>
      <c r="H235" s="277"/>
      <c r="I235" s="277"/>
      <c r="J235" s="32"/>
      <c r="K235" s="278"/>
      <c r="L235" s="278"/>
      <c r="M235" s="32"/>
      <c r="N235" s="219"/>
      <c r="O235" s="27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4.25" customHeight="1">
      <c r="A236" s="32"/>
      <c r="B236" s="32"/>
      <c r="C236" s="32"/>
      <c r="D236" s="287"/>
      <c r="E236" s="277"/>
      <c r="F236" s="277"/>
      <c r="G236" s="277"/>
      <c r="H236" s="277"/>
      <c r="I236" s="277"/>
      <c r="J236" s="32"/>
      <c r="K236" s="278"/>
      <c r="L236" s="278"/>
      <c r="M236" s="32"/>
      <c r="N236" s="219"/>
      <c r="O236" s="27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4.25" customHeight="1">
      <c r="A237" s="32"/>
      <c r="B237" s="32"/>
      <c r="C237" s="32"/>
      <c r="D237" s="287"/>
      <c r="E237" s="277"/>
      <c r="F237" s="277"/>
      <c r="G237" s="277"/>
      <c r="H237" s="277"/>
      <c r="I237" s="277"/>
      <c r="J237" s="32"/>
      <c r="K237" s="278"/>
      <c r="L237" s="278"/>
      <c r="M237" s="32"/>
      <c r="N237" s="219"/>
      <c r="O237" s="27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4.25" customHeight="1">
      <c r="A238" s="32"/>
      <c r="B238" s="32"/>
      <c r="C238" s="32"/>
      <c r="D238" s="287"/>
      <c r="E238" s="277"/>
      <c r="F238" s="277"/>
      <c r="G238" s="277"/>
      <c r="H238" s="277"/>
      <c r="I238" s="277"/>
      <c r="J238" s="32"/>
      <c r="K238" s="278"/>
      <c r="L238" s="278"/>
      <c r="M238" s="32"/>
      <c r="N238" s="219"/>
      <c r="O238" s="27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4.25" customHeight="1">
      <c r="A239" s="32"/>
      <c r="B239" s="32"/>
      <c r="C239" s="32"/>
      <c r="D239" s="287"/>
      <c r="E239" s="277"/>
      <c r="F239" s="277"/>
      <c r="G239" s="277"/>
      <c r="H239" s="277"/>
      <c r="I239" s="277"/>
      <c r="J239" s="32"/>
      <c r="K239" s="278"/>
      <c r="L239" s="278"/>
      <c r="M239" s="32"/>
      <c r="N239" s="219"/>
      <c r="O239" s="27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4.25" customHeight="1">
      <c r="A240" s="32"/>
      <c r="B240" s="32"/>
      <c r="C240" s="32"/>
      <c r="D240" s="287"/>
      <c r="E240" s="277"/>
      <c r="F240" s="277"/>
      <c r="G240" s="277"/>
      <c r="H240" s="277"/>
      <c r="I240" s="277"/>
      <c r="J240" s="32"/>
      <c r="K240" s="278"/>
      <c r="L240" s="278"/>
      <c r="M240" s="32"/>
      <c r="N240" s="219"/>
      <c r="O240" s="27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4.25" customHeight="1">
      <c r="A241" s="32"/>
      <c r="B241" s="32"/>
      <c r="C241" s="32"/>
      <c r="D241" s="287"/>
      <c r="E241" s="277"/>
      <c r="F241" s="277"/>
      <c r="G241" s="277"/>
      <c r="H241" s="277"/>
      <c r="I241" s="277"/>
      <c r="J241" s="32"/>
      <c r="K241" s="278"/>
      <c r="L241" s="278"/>
      <c r="M241" s="32"/>
      <c r="N241" s="219"/>
      <c r="O241" s="27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4.25" customHeight="1">
      <c r="A242" s="32"/>
      <c r="B242" s="32"/>
      <c r="C242" s="32"/>
      <c r="D242" s="287"/>
      <c r="E242" s="277"/>
      <c r="F242" s="277"/>
      <c r="G242" s="277"/>
      <c r="H242" s="277"/>
      <c r="I242" s="277"/>
      <c r="J242" s="32"/>
      <c r="K242" s="278"/>
      <c r="L242" s="278"/>
      <c r="M242" s="32"/>
      <c r="N242" s="219"/>
      <c r="O242" s="27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4.25" customHeight="1">
      <c r="A243" s="32"/>
      <c r="B243" s="32"/>
      <c r="C243" s="32"/>
      <c r="D243" s="287"/>
      <c r="E243" s="277"/>
      <c r="F243" s="277"/>
      <c r="G243" s="277"/>
      <c r="H243" s="277"/>
      <c r="I243" s="277"/>
      <c r="J243" s="32"/>
      <c r="K243" s="278"/>
      <c r="L243" s="278"/>
      <c r="M243" s="32"/>
      <c r="N243" s="219"/>
      <c r="O243" s="27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4.25" customHeight="1">
      <c r="A244" s="32"/>
      <c r="B244" s="32"/>
      <c r="C244" s="32"/>
      <c r="D244" s="287"/>
      <c r="E244" s="277"/>
      <c r="F244" s="277"/>
      <c r="G244" s="277"/>
      <c r="H244" s="277"/>
      <c r="I244" s="277"/>
      <c r="J244" s="32"/>
      <c r="K244" s="278"/>
      <c r="L244" s="278"/>
      <c r="M244" s="32"/>
      <c r="N244" s="219"/>
      <c r="O244" s="27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4.25" customHeight="1">
      <c r="A245" s="32"/>
      <c r="B245" s="32"/>
      <c r="C245" s="32"/>
      <c r="D245" s="287"/>
      <c r="E245" s="277"/>
      <c r="F245" s="277"/>
      <c r="G245" s="277"/>
      <c r="H245" s="277"/>
      <c r="I245" s="277"/>
      <c r="J245" s="32"/>
      <c r="K245" s="278"/>
      <c r="L245" s="278"/>
      <c r="M245" s="32"/>
      <c r="N245" s="219"/>
      <c r="O245" s="27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4.25" customHeight="1">
      <c r="A246" s="32"/>
      <c r="B246" s="32"/>
      <c r="C246" s="32"/>
      <c r="D246" s="287"/>
      <c r="E246" s="277"/>
      <c r="F246" s="277"/>
      <c r="G246" s="277"/>
      <c r="H246" s="277"/>
      <c r="I246" s="277"/>
      <c r="J246" s="32"/>
      <c r="K246" s="278"/>
      <c r="L246" s="278"/>
      <c r="M246" s="32"/>
      <c r="N246" s="219"/>
      <c r="O246" s="27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4.25" customHeight="1">
      <c r="A247" s="32"/>
      <c r="B247" s="32"/>
      <c r="C247" s="32"/>
      <c r="D247" s="287"/>
      <c r="E247" s="277"/>
      <c r="F247" s="277"/>
      <c r="G247" s="277"/>
      <c r="H247" s="277"/>
      <c r="I247" s="277"/>
      <c r="J247" s="32"/>
      <c r="K247" s="278"/>
      <c r="L247" s="278"/>
      <c r="M247" s="32"/>
      <c r="N247" s="219"/>
      <c r="O247" s="27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4.25" customHeight="1">
      <c r="A248" s="32"/>
      <c r="B248" s="32"/>
      <c r="C248" s="32"/>
      <c r="D248" s="287"/>
      <c r="E248" s="277"/>
      <c r="F248" s="277"/>
      <c r="G248" s="277"/>
      <c r="H248" s="277"/>
      <c r="I248" s="277"/>
      <c r="J248" s="32"/>
      <c r="K248" s="278"/>
      <c r="L248" s="278"/>
      <c r="M248" s="32"/>
      <c r="N248" s="219"/>
      <c r="O248" s="27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4.25" customHeight="1">
      <c r="A249" s="32"/>
      <c r="B249" s="32"/>
      <c r="C249" s="32"/>
      <c r="D249" s="287"/>
      <c r="E249" s="277"/>
      <c r="F249" s="277"/>
      <c r="G249" s="277"/>
      <c r="H249" s="277"/>
      <c r="I249" s="277"/>
      <c r="J249" s="32"/>
      <c r="K249" s="278"/>
      <c r="L249" s="278"/>
      <c r="M249" s="32"/>
      <c r="N249" s="219"/>
      <c r="O249" s="27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4.25" customHeight="1">
      <c r="A250" s="32"/>
      <c r="B250" s="32"/>
      <c r="C250" s="32"/>
      <c r="D250" s="287"/>
      <c r="E250" s="277"/>
      <c r="F250" s="277"/>
      <c r="G250" s="277"/>
      <c r="H250" s="277"/>
      <c r="I250" s="277"/>
      <c r="J250" s="32"/>
      <c r="K250" s="278"/>
      <c r="L250" s="278"/>
      <c r="M250" s="32"/>
      <c r="N250" s="219"/>
      <c r="O250" s="27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4.25" customHeight="1">
      <c r="A251" s="32"/>
      <c r="B251" s="32"/>
      <c r="C251" s="32"/>
      <c r="D251" s="287"/>
      <c r="E251" s="277"/>
      <c r="F251" s="277"/>
      <c r="G251" s="277"/>
      <c r="H251" s="277"/>
      <c r="I251" s="277"/>
      <c r="J251" s="32"/>
      <c r="K251" s="278"/>
      <c r="L251" s="278"/>
      <c r="M251" s="32"/>
      <c r="N251" s="219"/>
      <c r="O251" s="27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4.25" customHeight="1">
      <c r="A252" s="32"/>
      <c r="B252" s="32"/>
      <c r="C252" s="32"/>
      <c r="D252" s="287"/>
      <c r="E252" s="277"/>
      <c r="F252" s="277"/>
      <c r="G252" s="277"/>
      <c r="H252" s="277"/>
      <c r="I252" s="277"/>
      <c r="J252" s="32"/>
      <c r="K252" s="278"/>
      <c r="L252" s="278"/>
      <c r="M252" s="32"/>
      <c r="N252" s="219"/>
      <c r="O252" s="27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4.25" customHeight="1">
      <c r="A253" s="32"/>
      <c r="B253" s="32"/>
      <c r="C253" s="32"/>
      <c r="D253" s="287"/>
      <c r="E253" s="277"/>
      <c r="F253" s="277"/>
      <c r="G253" s="277"/>
      <c r="H253" s="277"/>
      <c r="I253" s="277"/>
      <c r="J253" s="32"/>
      <c r="K253" s="278"/>
      <c r="L253" s="278"/>
      <c r="M253" s="32"/>
      <c r="N253" s="219"/>
      <c r="O253" s="27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4.25" customHeight="1">
      <c r="A254" s="32"/>
      <c r="B254" s="32"/>
      <c r="C254" s="32"/>
      <c r="D254" s="287"/>
      <c r="E254" s="277"/>
      <c r="F254" s="277"/>
      <c r="G254" s="277"/>
      <c r="H254" s="277"/>
      <c r="I254" s="277"/>
      <c r="J254" s="32"/>
      <c r="K254" s="278"/>
      <c r="L254" s="278"/>
      <c r="M254" s="32"/>
      <c r="N254" s="219"/>
      <c r="O254" s="27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4.25" customHeight="1">
      <c r="A255" s="32"/>
      <c r="B255" s="32"/>
      <c r="C255" s="32"/>
      <c r="D255" s="287"/>
      <c r="E255" s="277"/>
      <c r="F255" s="277"/>
      <c r="G255" s="277"/>
      <c r="H255" s="277"/>
      <c r="I255" s="277"/>
      <c r="J255" s="32"/>
      <c r="K255" s="278"/>
      <c r="L255" s="278"/>
      <c r="M255" s="32"/>
      <c r="N255" s="219"/>
      <c r="O255" s="27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4.25" customHeight="1">
      <c r="A256" s="32"/>
      <c r="B256" s="32"/>
      <c r="C256" s="32"/>
      <c r="D256" s="287"/>
      <c r="E256" s="277"/>
      <c r="F256" s="277"/>
      <c r="G256" s="277"/>
      <c r="H256" s="277"/>
      <c r="I256" s="277"/>
      <c r="J256" s="32"/>
      <c r="K256" s="278"/>
      <c r="L256" s="278"/>
      <c r="M256" s="32"/>
      <c r="N256" s="219"/>
      <c r="O256" s="27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4.25" customHeight="1">
      <c r="A257" s="32"/>
      <c r="B257" s="32"/>
      <c r="C257" s="32"/>
      <c r="D257" s="287"/>
      <c r="E257" s="277"/>
      <c r="F257" s="277"/>
      <c r="G257" s="277"/>
      <c r="H257" s="277"/>
      <c r="I257" s="277"/>
      <c r="J257" s="32"/>
      <c r="K257" s="278"/>
      <c r="L257" s="278"/>
      <c r="M257" s="32"/>
      <c r="N257" s="219"/>
      <c r="O257" s="27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4.25" customHeight="1">
      <c r="A258" s="32"/>
      <c r="B258" s="32"/>
      <c r="C258" s="32"/>
      <c r="D258" s="287"/>
      <c r="E258" s="277"/>
      <c r="F258" s="277"/>
      <c r="G258" s="277"/>
      <c r="H258" s="277"/>
      <c r="I258" s="277"/>
      <c r="J258" s="32"/>
      <c r="K258" s="278"/>
      <c r="L258" s="278"/>
      <c r="M258" s="32"/>
      <c r="N258" s="219"/>
      <c r="O258" s="27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4.25" customHeight="1">
      <c r="A259" s="32"/>
      <c r="B259" s="32"/>
      <c r="C259" s="32"/>
      <c r="D259" s="287"/>
      <c r="E259" s="277"/>
      <c r="F259" s="277"/>
      <c r="G259" s="277"/>
      <c r="H259" s="277"/>
      <c r="I259" s="277"/>
      <c r="J259" s="32"/>
      <c r="K259" s="278"/>
      <c r="L259" s="278"/>
      <c r="M259" s="32"/>
      <c r="N259" s="219"/>
      <c r="O259" s="27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4.25" customHeight="1">
      <c r="A260" s="32"/>
      <c r="B260" s="32"/>
      <c r="C260" s="32"/>
      <c r="D260" s="287"/>
      <c r="E260" s="277"/>
      <c r="F260" s="277"/>
      <c r="G260" s="277"/>
      <c r="H260" s="277"/>
      <c r="I260" s="277"/>
      <c r="J260" s="32"/>
      <c r="K260" s="278"/>
      <c r="L260" s="278"/>
      <c r="M260" s="32"/>
      <c r="N260" s="219"/>
      <c r="O260" s="27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4.25" customHeight="1">
      <c r="A261" s="32"/>
      <c r="B261" s="32"/>
      <c r="C261" s="32"/>
      <c r="D261" s="287"/>
      <c r="E261" s="277"/>
      <c r="F261" s="277"/>
      <c r="G261" s="277"/>
      <c r="H261" s="277"/>
      <c r="I261" s="277"/>
      <c r="J261" s="32"/>
      <c r="K261" s="278"/>
      <c r="L261" s="278"/>
      <c r="M261" s="32"/>
      <c r="N261" s="219"/>
      <c r="O261" s="27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4.25" customHeight="1">
      <c r="A262" s="32"/>
      <c r="B262" s="32"/>
      <c r="C262" s="32"/>
      <c r="D262" s="287"/>
      <c r="E262" s="277"/>
      <c r="F262" s="277"/>
      <c r="G262" s="277"/>
      <c r="H262" s="277"/>
      <c r="I262" s="277"/>
      <c r="J262" s="32"/>
      <c r="K262" s="278"/>
      <c r="L262" s="278"/>
      <c r="M262" s="32"/>
      <c r="N262" s="219"/>
      <c r="O262" s="27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4.25" customHeight="1">
      <c r="A263" s="32"/>
      <c r="B263" s="32"/>
      <c r="C263" s="32"/>
      <c r="D263" s="287"/>
      <c r="E263" s="277"/>
      <c r="F263" s="277"/>
      <c r="G263" s="277"/>
      <c r="H263" s="277"/>
      <c r="I263" s="277"/>
      <c r="J263" s="32"/>
      <c r="K263" s="278"/>
      <c r="L263" s="278"/>
      <c r="M263" s="32"/>
      <c r="N263" s="219"/>
      <c r="O263" s="27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4.25" customHeight="1">
      <c r="A264" s="32"/>
      <c r="B264" s="32"/>
      <c r="C264" s="32"/>
      <c r="D264" s="287"/>
      <c r="E264" s="277"/>
      <c r="F264" s="277"/>
      <c r="G264" s="277"/>
      <c r="H264" s="277"/>
      <c r="I264" s="277"/>
      <c r="J264" s="32"/>
      <c r="K264" s="278"/>
      <c r="L264" s="278"/>
      <c r="M264" s="32"/>
      <c r="N264" s="219"/>
      <c r="O264" s="27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4.25" customHeight="1">
      <c r="A265" s="32"/>
      <c r="B265" s="32"/>
      <c r="C265" s="32"/>
      <c r="D265" s="287"/>
      <c r="E265" s="277"/>
      <c r="F265" s="277"/>
      <c r="G265" s="277"/>
      <c r="H265" s="277"/>
      <c r="I265" s="277"/>
      <c r="J265" s="32"/>
      <c r="K265" s="278"/>
      <c r="L265" s="278"/>
      <c r="M265" s="32"/>
      <c r="N265" s="219"/>
      <c r="O265" s="27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4.25" customHeight="1">
      <c r="A266" s="32"/>
      <c r="B266" s="32"/>
      <c r="C266" s="32"/>
      <c r="D266" s="287"/>
      <c r="E266" s="277"/>
      <c r="F266" s="277"/>
      <c r="G266" s="277"/>
      <c r="H266" s="277"/>
      <c r="I266" s="277"/>
      <c r="J266" s="32"/>
      <c r="K266" s="278"/>
      <c r="L266" s="278"/>
      <c r="M266" s="32"/>
      <c r="N266" s="219"/>
      <c r="O266" s="27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4.25" customHeight="1">
      <c r="A267" s="32"/>
      <c r="B267" s="32"/>
      <c r="C267" s="32"/>
      <c r="D267" s="287"/>
      <c r="E267" s="277"/>
      <c r="F267" s="277"/>
      <c r="G267" s="277"/>
      <c r="H267" s="277"/>
      <c r="I267" s="277"/>
      <c r="J267" s="32"/>
      <c r="K267" s="278"/>
      <c r="L267" s="278"/>
      <c r="M267" s="32"/>
      <c r="N267" s="219"/>
      <c r="O267" s="27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4.25" customHeight="1">
      <c r="A268" s="32"/>
      <c r="B268" s="32"/>
      <c r="C268" s="32"/>
      <c r="D268" s="287"/>
      <c r="E268" s="277"/>
      <c r="F268" s="277"/>
      <c r="G268" s="277"/>
      <c r="H268" s="277"/>
      <c r="I268" s="277"/>
      <c r="J268" s="32"/>
      <c r="K268" s="278"/>
      <c r="L268" s="278"/>
      <c r="M268" s="32"/>
      <c r="N268" s="219"/>
      <c r="O268" s="27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4.25" customHeight="1">
      <c r="A269" s="32"/>
      <c r="B269" s="32"/>
      <c r="C269" s="32"/>
      <c r="D269" s="287"/>
      <c r="E269" s="277"/>
      <c r="F269" s="277"/>
      <c r="G269" s="277"/>
      <c r="H269" s="277"/>
      <c r="I269" s="277"/>
      <c r="J269" s="32"/>
      <c r="K269" s="278"/>
      <c r="L269" s="278"/>
      <c r="M269" s="32"/>
      <c r="N269" s="219"/>
      <c r="O269" s="27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4.25" customHeight="1">
      <c r="A270" s="32"/>
      <c r="B270" s="32"/>
      <c r="C270" s="32"/>
      <c r="D270" s="287"/>
      <c r="E270" s="277"/>
      <c r="F270" s="277"/>
      <c r="G270" s="277"/>
      <c r="H270" s="277"/>
      <c r="I270" s="277"/>
      <c r="J270" s="32"/>
      <c r="K270" s="278"/>
      <c r="L270" s="278"/>
      <c r="M270" s="32"/>
      <c r="N270" s="219"/>
      <c r="O270" s="27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4.25" customHeight="1">
      <c r="A271" s="32"/>
      <c r="B271" s="32"/>
      <c r="C271" s="32"/>
      <c r="D271" s="287"/>
      <c r="E271" s="277"/>
      <c r="F271" s="277"/>
      <c r="G271" s="277"/>
      <c r="H271" s="277"/>
      <c r="I271" s="277"/>
      <c r="J271" s="32"/>
      <c r="K271" s="278"/>
      <c r="L271" s="278"/>
      <c r="M271" s="32"/>
      <c r="N271" s="219"/>
      <c r="O271" s="27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4.25" customHeight="1">
      <c r="A272" s="32"/>
      <c r="B272" s="32"/>
      <c r="C272" s="32"/>
      <c r="D272" s="287"/>
      <c r="E272" s="277"/>
      <c r="F272" s="277"/>
      <c r="G272" s="277"/>
      <c r="H272" s="277"/>
      <c r="I272" s="277"/>
      <c r="J272" s="32"/>
      <c r="K272" s="278"/>
      <c r="L272" s="278"/>
      <c r="M272" s="32"/>
      <c r="N272" s="219"/>
      <c r="O272" s="27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4.25" customHeight="1">
      <c r="A273" s="32"/>
      <c r="B273" s="32"/>
      <c r="C273" s="32"/>
      <c r="D273" s="287"/>
      <c r="E273" s="277"/>
      <c r="F273" s="277"/>
      <c r="G273" s="277"/>
      <c r="H273" s="277"/>
      <c r="I273" s="277"/>
      <c r="J273" s="32"/>
      <c r="K273" s="278"/>
      <c r="L273" s="278"/>
      <c r="M273" s="32"/>
      <c r="N273" s="219"/>
      <c r="O273" s="27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4.25" customHeight="1">
      <c r="A274" s="32"/>
      <c r="B274" s="32"/>
      <c r="C274" s="32"/>
      <c r="D274" s="287"/>
      <c r="E274" s="277"/>
      <c r="F274" s="277"/>
      <c r="G274" s="277"/>
      <c r="H274" s="277"/>
      <c r="I274" s="277"/>
      <c r="J274" s="32"/>
      <c r="K274" s="278"/>
      <c r="L274" s="278"/>
      <c r="M274" s="32"/>
      <c r="N274" s="219"/>
      <c r="O274" s="27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4.25" customHeight="1">
      <c r="A275" s="32"/>
      <c r="B275" s="32"/>
      <c r="C275" s="32"/>
      <c r="D275" s="287"/>
      <c r="E275" s="277"/>
      <c r="F275" s="277"/>
      <c r="G275" s="277"/>
      <c r="H275" s="277"/>
      <c r="I275" s="277"/>
      <c r="J275" s="32"/>
      <c r="K275" s="278"/>
      <c r="L275" s="278"/>
      <c r="M275" s="32"/>
      <c r="N275" s="219"/>
      <c r="O275" s="27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4.25" customHeight="1">
      <c r="A276" s="32"/>
      <c r="B276" s="32"/>
      <c r="C276" s="32"/>
      <c r="D276" s="287"/>
      <c r="E276" s="277"/>
      <c r="F276" s="277"/>
      <c r="G276" s="277"/>
      <c r="H276" s="277"/>
      <c r="I276" s="277"/>
      <c r="J276" s="32"/>
      <c r="K276" s="278"/>
      <c r="L276" s="278"/>
      <c r="M276" s="32"/>
      <c r="N276" s="219"/>
      <c r="O276" s="27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4.25" customHeight="1">
      <c r="A277" s="32"/>
      <c r="B277" s="32"/>
      <c r="C277" s="32"/>
      <c r="D277" s="287"/>
      <c r="E277" s="277"/>
      <c r="F277" s="277"/>
      <c r="G277" s="277"/>
      <c r="H277" s="277"/>
      <c r="I277" s="277"/>
      <c r="J277" s="32"/>
      <c r="K277" s="278"/>
      <c r="L277" s="278"/>
      <c r="M277" s="32"/>
      <c r="N277" s="219"/>
      <c r="O277" s="27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4.25" customHeight="1">
      <c r="A278" s="32"/>
      <c r="B278" s="32"/>
      <c r="C278" s="32"/>
      <c r="D278" s="287"/>
      <c r="E278" s="277"/>
      <c r="F278" s="277"/>
      <c r="G278" s="277"/>
      <c r="H278" s="277"/>
      <c r="I278" s="277"/>
      <c r="J278" s="32"/>
      <c r="K278" s="278"/>
      <c r="L278" s="278"/>
      <c r="M278" s="32"/>
      <c r="N278" s="219"/>
      <c r="O278" s="27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4.25" customHeight="1">
      <c r="A279" s="32"/>
      <c r="B279" s="32"/>
      <c r="C279" s="32"/>
      <c r="D279" s="287"/>
      <c r="E279" s="277"/>
      <c r="F279" s="277"/>
      <c r="G279" s="277"/>
      <c r="H279" s="277"/>
      <c r="I279" s="277"/>
      <c r="J279" s="32"/>
      <c r="K279" s="278"/>
      <c r="L279" s="278"/>
      <c r="M279" s="32"/>
      <c r="N279" s="219"/>
      <c r="O279" s="27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4.25" customHeight="1">
      <c r="A280" s="32"/>
      <c r="B280" s="32"/>
      <c r="C280" s="32"/>
      <c r="D280" s="287"/>
      <c r="E280" s="277"/>
      <c r="F280" s="277"/>
      <c r="G280" s="277"/>
      <c r="H280" s="277"/>
      <c r="I280" s="277"/>
      <c r="J280" s="32"/>
      <c r="K280" s="278"/>
      <c r="L280" s="278"/>
      <c r="M280" s="32"/>
      <c r="N280" s="219"/>
      <c r="O280" s="27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4.25" customHeight="1">
      <c r="A281" s="32"/>
      <c r="B281" s="32"/>
      <c r="C281" s="32"/>
      <c r="D281" s="287"/>
      <c r="E281" s="277"/>
      <c r="F281" s="277"/>
      <c r="G281" s="277"/>
      <c r="H281" s="277"/>
      <c r="I281" s="277"/>
      <c r="J281" s="32"/>
      <c r="K281" s="278"/>
      <c r="L281" s="278"/>
      <c r="M281" s="32"/>
      <c r="N281" s="219"/>
      <c r="O281" s="27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4.25" customHeight="1">
      <c r="A282" s="32"/>
      <c r="B282" s="32"/>
      <c r="C282" s="32"/>
      <c r="D282" s="287"/>
      <c r="E282" s="277"/>
      <c r="F282" s="277"/>
      <c r="G282" s="277"/>
      <c r="H282" s="277"/>
      <c r="I282" s="277"/>
      <c r="J282" s="32"/>
      <c r="K282" s="278"/>
      <c r="L282" s="278"/>
      <c r="M282" s="32"/>
      <c r="N282" s="219"/>
      <c r="O282" s="27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4.25" customHeight="1">
      <c r="A283" s="32"/>
      <c r="B283" s="32"/>
      <c r="C283" s="32"/>
      <c r="D283" s="287"/>
      <c r="E283" s="277"/>
      <c r="F283" s="277"/>
      <c r="G283" s="277"/>
      <c r="H283" s="277"/>
      <c r="I283" s="277"/>
      <c r="J283" s="32"/>
      <c r="K283" s="278"/>
      <c r="L283" s="278"/>
      <c r="M283" s="32"/>
      <c r="N283" s="219"/>
      <c r="O283" s="27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4.25" customHeight="1">
      <c r="A284" s="32"/>
      <c r="B284" s="32"/>
      <c r="C284" s="32"/>
      <c r="D284" s="287"/>
      <c r="E284" s="277"/>
      <c r="F284" s="277"/>
      <c r="G284" s="277"/>
      <c r="H284" s="277"/>
      <c r="I284" s="277"/>
      <c r="J284" s="32"/>
      <c r="K284" s="278"/>
      <c r="L284" s="278"/>
      <c r="M284" s="32"/>
      <c r="N284" s="219"/>
      <c r="O284" s="27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4.25" customHeight="1">
      <c r="A285" s="32"/>
      <c r="B285" s="32"/>
      <c r="C285" s="32"/>
      <c r="D285" s="287"/>
      <c r="E285" s="277"/>
      <c r="F285" s="277"/>
      <c r="G285" s="277"/>
      <c r="H285" s="277"/>
      <c r="I285" s="277"/>
      <c r="J285" s="32"/>
      <c r="K285" s="278"/>
      <c r="L285" s="278"/>
      <c r="M285" s="32"/>
      <c r="N285" s="219"/>
      <c r="O285" s="27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4.25" customHeight="1">
      <c r="A286" s="32"/>
      <c r="B286" s="32"/>
      <c r="C286" s="32"/>
      <c r="D286" s="287"/>
      <c r="E286" s="277"/>
      <c r="F286" s="277"/>
      <c r="G286" s="277"/>
      <c r="H286" s="277"/>
      <c r="I286" s="277"/>
      <c r="J286" s="32"/>
      <c r="K286" s="278"/>
      <c r="L286" s="278"/>
      <c r="M286" s="32"/>
      <c r="N286" s="219"/>
      <c r="O286" s="27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4.25" customHeight="1">
      <c r="A287" s="32"/>
      <c r="B287" s="32"/>
      <c r="C287" s="32"/>
      <c r="D287" s="287"/>
      <c r="E287" s="277"/>
      <c r="F287" s="277"/>
      <c r="G287" s="277"/>
      <c r="H287" s="277"/>
      <c r="I287" s="277"/>
      <c r="J287" s="32"/>
      <c r="K287" s="278"/>
      <c r="L287" s="278"/>
      <c r="M287" s="32"/>
      <c r="N287" s="219"/>
      <c r="O287" s="27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4.25" customHeight="1">
      <c r="A288" s="32"/>
      <c r="B288" s="32"/>
      <c r="C288" s="32"/>
      <c r="D288" s="287"/>
      <c r="E288" s="277"/>
      <c r="F288" s="277"/>
      <c r="G288" s="277"/>
      <c r="H288" s="277"/>
      <c r="I288" s="277"/>
      <c r="J288" s="32"/>
      <c r="K288" s="278"/>
      <c r="L288" s="278"/>
      <c r="M288" s="32"/>
      <c r="N288" s="219"/>
      <c r="O288" s="27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4.25" customHeight="1">
      <c r="A289" s="32"/>
      <c r="B289" s="32"/>
      <c r="C289" s="32"/>
      <c r="D289" s="287"/>
      <c r="E289" s="277"/>
      <c r="F289" s="277"/>
      <c r="G289" s="277"/>
      <c r="H289" s="277"/>
      <c r="I289" s="277"/>
      <c r="J289" s="32"/>
      <c r="K289" s="278"/>
      <c r="L289" s="278"/>
      <c r="M289" s="32"/>
      <c r="N289" s="219"/>
      <c r="O289" s="27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4.25" customHeight="1">
      <c r="A290" s="32"/>
      <c r="B290" s="286"/>
      <c r="C290" s="286"/>
      <c r="D290" s="288"/>
      <c r="E290" s="289"/>
      <c r="F290" s="289"/>
      <c r="G290" s="289"/>
      <c r="H290" s="289"/>
      <c r="I290" s="289"/>
      <c r="J290" s="286"/>
      <c r="K290" s="290"/>
      <c r="L290" s="290"/>
      <c r="M290" s="286"/>
      <c r="N290" s="291"/>
      <c r="O290" s="292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</row>
    <row r="291" ht="14.25" customHeight="1">
      <c r="A291" s="32"/>
      <c r="B291" s="286"/>
      <c r="C291" s="286"/>
      <c r="D291" s="288"/>
      <c r="E291" s="289"/>
      <c r="F291" s="289"/>
      <c r="G291" s="289"/>
      <c r="H291" s="289"/>
      <c r="I291" s="289"/>
      <c r="J291" s="286"/>
      <c r="K291" s="290"/>
      <c r="L291" s="290"/>
      <c r="M291" s="286"/>
      <c r="N291" s="291"/>
      <c r="O291" s="292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</row>
    <row r="292" ht="14.25" customHeight="1">
      <c r="A292" s="32"/>
      <c r="B292" s="286"/>
      <c r="C292" s="286"/>
      <c r="D292" s="288"/>
      <c r="E292" s="289"/>
      <c r="F292" s="289"/>
      <c r="G292" s="289"/>
      <c r="H292" s="289"/>
      <c r="I292" s="289"/>
      <c r="J292" s="286"/>
      <c r="K292" s="290"/>
      <c r="L292" s="290"/>
      <c r="M292" s="286"/>
      <c r="N292" s="291"/>
      <c r="O292" s="292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</row>
    <row r="293" ht="14.25" customHeight="1">
      <c r="A293" s="32"/>
      <c r="B293" s="286"/>
      <c r="C293" s="286"/>
      <c r="D293" s="288"/>
      <c r="E293" s="289"/>
      <c r="F293" s="289"/>
      <c r="G293" s="289"/>
      <c r="H293" s="289"/>
      <c r="I293" s="289"/>
      <c r="J293" s="286"/>
      <c r="K293" s="290"/>
      <c r="L293" s="290"/>
      <c r="M293" s="286"/>
      <c r="N293" s="291"/>
      <c r="O293" s="292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</row>
    <row r="294" ht="14.25" customHeight="1">
      <c r="A294" s="32"/>
      <c r="B294" s="286"/>
      <c r="C294" s="286"/>
      <c r="D294" s="288"/>
      <c r="E294" s="289"/>
      <c r="F294" s="289"/>
      <c r="G294" s="289"/>
      <c r="H294" s="289"/>
      <c r="I294" s="289"/>
      <c r="J294" s="286"/>
      <c r="K294" s="290"/>
      <c r="L294" s="290"/>
      <c r="M294" s="286"/>
      <c r="N294" s="291"/>
      <c r="O294" s="292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</row>
    <row r="295" ht="14.25" customHeight="1">
      <c r="A295" s="32"/>
      <c r="B295" s="286"/>
      <c r="C295" s="286"/>
      <c r="D295" s="288"/>
      <c r="E295" s="289"/>
      <c r="F295" s="289"/>
      <c r="G295" s="289"/>
      <c r="H295" s="289"/>
      <c r="I295" s="289"/>
      <c r="J295" s="286"/>
      <c r="K295" s="290"/>
      <c r="L295" s="290"/>
      <c r="M295" s="286"/>
      <c r="N295" s="291"/>
      <c r="O295" s="292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</row>
    <row r="296" ht="14.25" customHeight="1">
      <c r="A296" s="32"/>
      <c r="B296" s="286"/>
      <c r="C296" s="286"/>
      <c r="D296" s="288"/>
      <c r="E296" s="289"/>
      <c r="F296" s="289"/>
      <c r="G296" s="289"/>
      <c r="H296" s="289"/>
      <c r="I296" s="289"/>
      <c r="J296" s="286"/>
      <c r="K296" s="290"/>
      <c r="L296" s="290"/>
      <c r="M296" s="286"/>
      <c r="N296" s="291"/>
      <c r="O296" s="292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</row>
    <row r="297" ht="14.25" customHeight="1">
      <c r="A297" s="32"/>
      <c r="B297" s="286"/>
      <c r="C297" s="286"/>
      <c r="D297" s="288"/>
      <c r="E297" s="289"/>
      <c r="F297" s="289"/>
      <c r="G297" s="289"/>
      <c r="H297" s="289"/>
      <c r="I297" s="289"/>
      <c r="J297" s="286"/>
      <c r="K297" s="290"/>
      <c r="L297" s="290"/>
      <c r="M297" s="286"/>
      <c r="N297" s="291"/>
      <c r="O297" s="292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</row>
    <row r="298" ht="14.25" customHeight="1">
      <c r="A298" s="32"/>
      <c r="B298" s="286"/>
      <c r="C298" s="286"/>
      <c r="D298" s="288"/>
      <c r="E298" s="289"/>
      <c r="F298" s="289"/>
      <c r="G298" s="289"/>
      <c r="H298" s="289"/>
      <c r="I298" s="289"/>
      <c r="J298" s="286"/>
      <c r="K298" s="290"/>
      <c r="L298" s="290"/>
      <c r="M298" s="286"/>
      <c r="N298" s="291"/>
      <c r="O298" s="292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</row>
    <row r="299" ht="14.25" customHeight="1">
      <c r="A299" s="32"/>
      <c r="B299" s="286"/>
      <c r="C299" s="286"/>
      <c r="D299" s="288"/>
      <c r="E299" s="289"/>
      <c r="F299" s="289"/>
      <c r="G299" s="289"/>
      <c r="H299" s="289"/>
      <c r="I299" s="289"/>
      <c r="J299" s="286"/>
      <c r="K299" s="290"/>
      <c r="L299" s="290"/>
      <c r="M299" s="286"/>
      <c r="N299" s="291"/>
      <c r="O299" s="292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</row>
    <row r="300" ht="14.25" customHeight="1">
      <c r="A300" s="32"/>
      <c r="B300" s="286"/>
      <c r="C300" s="286"/>
      <c r="D300" s="288"/>
      <c r="E300" s="289"/>
      <c r="F300" s="289"/>
      <c r="G300" s="289"/>
      <c r="H300" s="289"/>
      <c r="I300" s="289"/>
      <c r="J300" s="286"/>
      <c r="K300" s="290"/>
      <c r="L300" s="290"/>
      <c r="M300" s="286"/>
      <c r="N300" s="291"/>
      <c r="O300" s="292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</row>
    <row r="301" ht="14.25" customHeight="1">
      <c r="A301" s="32"/>
      <c r="B301" s="286"/>
      <c r="C301" s="286"/>
      <c r="D301" s="288"/>
      <c r="E301" s="289"/>
      <c r="F301" s="289"/>
      <c r="G301" s="289"/>
      <c r="H301" s="289"/>
      <c r="I301" s="289"/>
      <c r="J301" s="286"/>
      <c r="K301" s="290"/>
      <c r="L301" s="290"/>
      <c r="M301" s="286"/>
      <c r="N301" s="291"/>
      <c r="O301" s="292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</row>
    <row r="302" ht="14.25" customHeight="1">
      <c r="A302" s="32"/>
      <c r="B302" s="286"/>
      <c r="C302" s="286"/>
      <c r="D302" s="288"/>
      <c r="E302" s="289"/>
      <c r="F302" s="289"/>
      <c r="G302" s="289"/>
      <c r="H302" s="289"/>
      <c r="I302" s="289"/>
      <c r="J302" s="286"/>
      <c r="K302" s="290"/>
      <c r="L302" s="290"/>
      <c r="M302" s="286"/>
      <c r="N302" s="291"/>
      <c r="O302" s="292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</row>
    <row r="303" ht="14.25" customHeight="1">
      <c r="A303" s="32"/>
      <c r="B303" s="286"/>
      <c r="C303" s="286"/>
      <c r="D303" s="288"/>
      <c r="E303" s="289"/>
      <c r="F303" s="289"/>
      <c r="G303" s="289"/>
      <c r="H303" s="289"/>
      <c r="I303" s="289"/>
      <c r="J303" s="286"/>
      <c r="K303" s="290"/>
      <c r="L303" s="290"/>
      <c r="M303" s="286"/>
      <c r="N303" s="291"/>
      <c r="O303" s="292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</row>
    <row r="304" ht="14.25" customHeight="1">
      <c r="A304" s="32"/>
      <c r="B304" s="286"/>
      <c r="C304" s="286"/>
      <c r="D304" s="288"/>
      <c r="E304" s="289"/>
      <c r="F304" s="289"/>
      <c r="G304" s="289"/>
      <c r="H304" s="289"/>
      <c r="I304" s="289"/>
      <c r="J304" s="286"/>
      <c r="K304" s="290"/>
      <c r="L304" s="290"/>
      <c r="M304" s="286"/>
      <c r="N304" s="291"/>
      <c r="O304" s="292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</row>
    <row r="305" ht="14.25" customHeight="1">
      <c r="A305" s="32"/>
      <c r="B305" s="286"/>
      <c r="C305" s="286"/>
      <c r="D305" s="288"/>
      <c r="E305" s="289"/>
      <c r="F305" s="289"/>
      <c r="G305" s="289"/>
      <c r="H305" s="289"/>
      <c r="I305" s="289"/>
      <c r="J305" s="286"/>
      <c r="K305" s="290"/>
      <c r="L305" s="290"/>
      <c r="M305" s="286"/>
      <c r="N305" s="291"/>
      <c r="O305" s="292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</row>
    <row r="306" ht="14.25" customHeight="1">
      <c r="A306" s="32"/>
      <c r="B306" s="286"/>
      <c r="C306" s="286"/>
      <c r="D306" s="288"/>
      <c r="E306" s="289"/>
      <c r="F306" s="289"/>
      <c r="G306" s="289"/>
      <c r="H306" s="289"/>
      <c r="I306" s="289"/>
      <c r="J306" s="286"/>
      <c r="K306" s="290"/>
      <c r="L306" s="290"/>
      <c r="M306" s="286"/>
      <c r="N306" s="291"/>
      <c r="O306" s="292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</row>
    <row r="307" ht="14.25" customHeight="1">
      <c r="A307" s="32"/>
      <c r="B307" s="286"/>
      <c r="C307" s="286"/>
      <c r="D307" s="288"/>
      <c r="E307" s="289"/>
      <c r="F307" s="289"/>
      <c r="G307" s="289"/>
      <c r="H307" s="289"/>
      <c r="I307" s="289"/>
      <c r="J307" s="286"/>
      <c r="K307" s="290"/>
      <c r="L307" s="290"/>
      <c r="M307" s="286"/>
      <c r="N307" s="291"/>
      <c r="O307" s="292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</row>
    <row r="308" ht="14.25" customHeight="1">
      <c r="A308" s="32"/>
      <c r="B308" s="286"/>
      <c r="C308" s="286"/>
      <c r="D308" s="288"/>
      <c r="E308" s="289"/>
      <c r="F308" s="289"/>
      <c r="G308" s="289"/>
      <c r="H308" s="289"/>
      <c r="I308" s="289"/>
      <c r="J308" s="286"/>
      <c r="K308" s="290"/>
      <c r="L308" s="290"/>
      <c r="M308" s="286"/>
      <c r="N308" s="291"/>
      <c r="O308" s="292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</row>
    <row r="309" ht="14.25" customHeight="1">
      <c r="A309" s="32"/>
      <c r="B309" s="286"/>
      <c r="C309" s="286"/>
      <c r="D309" s="288"/>
      <c r="E309" s="289"/>
      <c r="F309" s="289"/>
      <c r="G309" s="289"/>
      <c r="H309" s="289"/>
      <c r="I309" s="289"/>
      <c r="J309" s="286"/>
      <c r="K309" s="290"/>
      <c r="L309" s="290"/>
      <c r="M309" s="286"/>
      <c r="N309" s="291"/>
      <c r="O309" s="292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</row>
    <row r="310" ht="14.25" customHeight="1">
      <c r="A310" s="32"/>
      <c r="B310" s="286"/>
      <c r="C310" s="286"/>
      <c r="D310" s="288"/>
      <c r="E310" s="289"/>
      <c r="F310" s="289"/>
      <c r="G310" s="289"/>
      <c r="H310" s="289"/>
      <c r="I310" s="289"/>
      <c r="J310" s="286"/>
      <c r="K310" s="290"/>
      <c r="L310" s="290"/>
      <c r="M310" s="286"/>
      <c r="N310" s="291"/>
      <c r="O310" s="292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</row>
    <row r="311" ht="14.25" customHeight="1">
      <c r="A311" s="32"/>
      <c r="B311" s="286"/>
      <c r="C311" s="286"/>
      <c r="D311" s="288"/>
      <c r="E311" s="289"/>
      <c r="F311" s="289"/>
      <c r="G311" s="289"/>
      <c r="H311" s="289"/>
      <c r="I311" s="289"/>
      <c r="J311" s="286"/>
      <c r="K311" s="290"/>
      <c r="L311" s="290"/>
      <c r="M311" s="286"/>
      <c r="N311" s="291"/>
      <c r="O311" s="292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</row>
    <row r="312" ht="14.25" customHeight="1">
      <c r="A312" s="32"/>
      <c r="B312" s="286"/>
      <c r="C312" s="286"/>
      <c r="D312" s="288"/>
      <c r="E312" s="289"/>
      <c r="F312" s="289"/>
      <c r="G312" s="289"/>
      <c r="H312" s="289"/>
      <c r="I312" s="289"/>
      <c r="J312" s="286"/>
      <c r="K312" s="290"/>
      <c r="L312" s="290"/>
      <c r="M312" s="286"/>
      <c r="N312" s="291"/>
      <c r="O312" s="292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</row>
    <row r="313" ht="14.25" customHeight="1">
      <c r="A313" s="32"/>
      <c r="B313" s="286"/>
      <c r="C313" s="286"/>
      <c r="D313" s="288"/>
      <c r="E313" s="289"/>
      <c r="F313" s="289"/>
      <c r="G313" s="289"/>
      <c r="H313" s="289"/>
      <c r="I313" s="289"/>
      <c r="J313" s="286"/>
      <c r="K313" s="290"/>
      <c r="L313" s="290"/>
      <c r="M313" s="286"/>
      <c r="N313" s="291"/>
      <c r="O313" s="292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</row>
    <row r="314" ht="14.25" customHeight="1">
      <c r="A314" s="32"/>
      <c r="B314" s="286"/>
      <c r="C314" s="286"/>
      <c r="D314" s="288"/>
      <c r="E314" s="289"/>
      <c r="F314" s="289"/>
      <c r="G314" s="289"/>
      <c r="H314" s="289"/>
      <c r="I314" s="289"/>
      <c r="J314" s="286"/>
      <c r="K314" s="290"/>
      <c r="L314" s="290"/>
      <c r="M314" s="286"/>
      <c r="N314" s="291"/>
      <c r="O314" s="292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</row>
    <row r="315" ht="14.25" customHeight="1">
      <c r="A315" s="32"/>
      <c r="B315" s="286"/>
      <c r="C315" s="286"/>
      <c r="D315" s="288"/>
      <c r="E315" s="289"/>
      <c r="F315" s="289"/>
      <c r="G315" s="289"/>
      <c r="H315" s="289"/>
      <c r="I315" s="289"/>
      <c r="J315" s="286"/>
      <c r="K315" s="290"/>
      <c r="L315" s="290"/>
      <c r="M315" s="286"/>
      <c r="N315" s="291"/>
      <c r="O315" s="292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</row>
    <row r="316" ht="14.25" customHeight="1">
      <c r="A316" s="32"/>
      <c r="B316" s="286"/>
      <c r="C316" s="286"/>
      <c r="D316" s="288"/>
      <c r="E316" s="289"/>
      <c r="F316" s="289"/>
      <c r="G316" s="289"/>
      <c r="H316" s="289"/>
      <c r="I316" s="289"/>
      <c r="J316" s="286"/>
      <c r="K316" s="290"/>
      <c r="L316" s="290"/>
      <c r="M316" s="286"/>
      <c r="N316" s="291"/>
      <c r="O316" s="292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</row>
    <row r="317" ht="14.25" customHeight="1">
      <c r="A317" s="32"/>
      <c r="B317" s="286"/>
      <c r="C317" s="286"/>
      <c r="D317" s="288"/>
      <c r="E317" s="289"/>
      <c r="F317" s="289"/>
      <c r="G317" s="289"/>
      <c r="H317" s="289"/>
      <c r="I317" s="289"/>
      <c r="J317" s="286"/>
      <c r="K317" s="290"/>
      <c r="L317" s="290"/>
      <c r="M317" s="286"/>
      <c r="N317" s="291"/>
      <c r="O317" s="292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</row>
    <row r="318" ht="14.25" customHeight="1">
      <c r="A318" s="32"/>
      <c r="B318" s="286"/>
      <c r="C318" s="286"/>
      <c r="D318" s="288"/>
      <c r="E318" s="289"/>
      <c r="F318" s="289"/>
      <c r="G318" s="289"/>
      <c r="H318" s="289"/>
      <c r="I318" s="289"/>
      <c r="J318" s="286"/>
      <c r="K318" s="290"/>
      <c r="L318" s="290"/>
      <c r="M318" s="286"/>
      <c r="N318" s="291"/>
      <c r="O318" s="292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</row>
    <row r="319" ht="14.25" customHeight="1">
      <c r="A319" s="32"/>
      <c r="B319" s="286"/>
      <c r="C319" s="286"/>
      <c r="D319" s="288"/>
      <c r="E319" s="289"/>
      <c r="F319" s="289"/>
      <c r="G319" s="289"/>
      <c r="H319" s="289"/>
      <c r="I319" s="289"/>
      <c r="J319" s="286"/>
      <c r="K319" s="290"/>
      <c r="L319" s="290"/>
      <c r="M319" s="286"/>
      <c r="N319" s="291"/>
      <c r="O319" s="292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</row>
    <row r="320" ht="14.25" customHeight="1">
      <c r="A320" s="32"/>
      <c r="B320" s="286"/>
      <c r="C320" s="286"/>
      <c r="D320" s="288"/>
      <c r="E320" s="289"/>
      <c r="F320" s="289"/>
      <c r="G320" s="289"/>
      <c r="H320" s="289"/>
      <c r="I320" s="289"/>
      <c r="J320" s="286"/>
      <c r="K320" s="290"/>
      <c r="L320" s="290"/>
      <c r="M320" s="286"/>
      <c r="N320" s="291"/>
      <c r="O320" s="292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</row>
    <row r="321" ht="14.25" customHeight="1">
      <c r="A321" s="32"/>
      <c r="B321" s="286"/>
      <c r="C321" s="286"/>
      <c r="D321" s="288"/>
      <c r="E321" s="289"/>
      <c r="F321" s="289"/>
      <c r="G321" s="289"/>
      <c r="H321" s="289"/>
      <c r="I321" s="289"/>
      <c r="J321" s="286"/>
      <c r="K321" s="290"/>
      <c r="L321" s="290"/>
      <c r="M321" s="286"/>
      <c r="N321" s="291"/>
      <c r="O321" s="292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</row>
    <row r="322" ht="14.25" customHeight="1">
      <c r="A322" s="32"/>
      <c r="B322" s="286"/>
      <c r="C322" s="286"/>
      <c r="D322" s="288"/>
      <c r="E322" s="289"/>
      <c r="F322" s="289"/>
      <c r="G322" s="289"/>
      <c r="H322" s="289"/>
      <c r="I322" s="289"/>
      <c r="J322" s="286"/>
      <c r="K322" s="290"/>
      <c r="L322" s="290"/>
      <c r="M322" s="286"/>
      <c r="N322" s="291"/>
      <c r="O322" s="292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</row>
    <row r="323" ht="14.25" customHeight="1">
      <c r="A323" s="32"/>
      <c r="B323" s="286"/>
      <c r="C323" s="286"/>
      <c r="D323" s="288"/>
      <c r="E323" s="289"/>
      <c r="F323" s="289"/>
      <c r="G323" s="289"/>
      <c r="H323" s="289"/>
      <c r="I323" s="289"/>
      <c r="J323" s="286"/>
      <c r="K323" s="290"/>
      <c r="L323" s="290"/>
      <c r="M323" s="286"/>
      <c r="N323" s="291"/>
      <c r="O323" s="292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</row>
    <row r="324" ht="14.25" customHeight="1">
      <c r="A324" s="32"/>
      <c r="B324" s="286"/>
      <c r="C324" s="286"/>
      <c r="D324" s="288"/>
      <c r="E324" s="289"/>
      <c r="F324" s="289"/>
      <c r="G324" s="289"/>
      <c r="H324" s="289"/>
      <c r="I324" s="289"/>
      <c r="J324" s="286"/>
      <c r="K324" s="290"/>
      <c r="L324" s="290"/>
      <c r="M324" s="286"/>
      <c r="N324" s="291"/>
      <c r="O324" s="292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</row>
    <row r="325" ht="14.25" customHeight="1">
      <c r="A325" s="32"/>
      <c r="B325" s="286"/>
      <c r="C325" s="286"/>
      <c r="D325" s="288"/>
      <c r="E325" s="289"/>
      <c r="F325" s="289"/>
      <c r="G325" s="289"/>
      <c r="H325" s="289"/>
      <c r="I325" s="289"/>
      <c r="J325" s="286"/>
      <c r="K325" s="290"/>
      <c r="L325" s="290"/>
      <c r="M325" s="286"/>
      <c r="N325" s="291"/>
      <c r="O325" s="292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</row>
    <row r="326" ht="14.25" customHeight="1">
      <c r="A326" s="32"/>
      <c r="B326" s="286"/>
      <c r="C326" s="286"/>
      <c r="D326" s="288"/>
      <c r="E326" s="289"/>
      <c r="F326" s="289"/>
      <c r="G326" s="289"/>
      <c r="H326" s="289"/>
      <c r="I326" s="289"/>
      <c r="J326" s="286"/>
      <c r="K326" s="290"/>
      <c r="L326" s="290"/>
      <c r="M326" s="286"/>
      <c r="N326" s="291"/>
      <c r="O326" s="292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</row>
    <row r="327" ht="14.25" customHeight="1">
      <c r="A327" s="32"/>
      <c r="B327" s="286"/>
      <c r="C327" s="286"/>
      <c r="D327" s="288"/>
      <c r="E327" s="289"/>
      <c r="F327" s="289"/>
      <c r="G327" s="289"/>
      <c r="H327" s="289"/>
      <c r="I327" s="289"/>
      <c r="J327" s="286"/>
      <c r="K327" s="290"/>
      <c r="L327" s="290"/>
      <c r="M327" s="286"/>
      <c r="N327" s="291"/>
      <c r="O327" s="292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</row>
    <row r="328" ht="14.25" customHeight="1">
      <c r="A328" s="32"/>
      <c r="B328" s="286"/>
      <c r="C328" s="286"/>
      <c r="D328" s="288"/>
      <c r="E328" s="289"/>
      <c r="F328" s="289"/>
      <c r="G328" s="289"/>
      <c r="H328" s="289"/>
      <c r="I328" s="289"/>
      <c r="J328" s="286"/>
      <c r="K328" s="290"/>
      <c r="L328" s="290"/>
      <c r="M328" s="286"/>
      <c r="N328" s="291"/>
      <c r="O328" s="292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</row>
    <row r="329" ht="14.25" customHeight="1">
      <c r="A329" s="32"/>
      <c r="B329" s="286"/>
      <c r="C329" s="286"/>
      <c r="D329" s="288"/>
      <c r="E329" s="289"/>
      <c r="F329" s="289"/>
      <c r="G329" s="289"/>
      <c r="H329" s="289"/>
      <c r="I329" s="289"/>
      <c r="J329" s="286"/>
      <c r="K329" s="290"/>
      <c r="L329" s="290"/>
      <c r="M329" s="286"/>
      <c r="N329" s="291"/>
      <c r="O329" s="292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</row>
    <row r="330" ht="14.25" customHeight="1">
      <c r="A330" s="32"/>
      <c r="B330" s="286"/>
      <c r="C330" s="286"/>
      <c r="D330" s="288"/>
      <c r="E330" s="289"/>
      <c r="F330" s="289"/>
      <c r="G330" s="289"/>
      <c r="H330" s="289"/>
      <c r="I330" s="289"/>
      <c r="J330" s="286"/>
      <c r="K330" s="290"/>
      <c r="L330" s="290"/>
      <c r="M330" s="286"/>
      <c r="N330" s="291"/>
      <c r="O330" s="292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</row>
    <row r="331" ht="14.25" customHeight="1">
      <c r="A331" s="32"/>
      <c r="B331" s="286"/>
      <c r="C331" s="286"/>
      <c r="D331" s="288"/>
      <c r="E331" s="289"/>
      <c r="F331" s="289"/>
      <c r="G331" s="289"/>
      <c r="H331" s="289"/>
      <c r="I331" s="289"/>
      <c r="J331" s="286"/>
      <c r="K331" s="290"/>
      <c r="L331" s="290"/>
      <c r="M331" s="286"/>
      <c r="N331" s="291"/>
      <c r="O331" s="292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</row>
    <row r="332" ht="14.25" customHeight="1">
      <c r="A332" s="32"/>
      <c r="B332" s="286"/>
      <c r="C332" s="286"/>
      <c r="D332" s="288"/>
      <c r="E332" s="289"/>
      <c r="F332" s="289"/>
      <c r="G332" s="289"/>
      <c r="H332" s="289"/>
      <c r="I332" s="289"/>
      <c r="J332" s="286"/>
      <c r="K332" s="290"/>
      <c r="L332" s="290"/>
      <c r="M332" s="286"/>
      <c r="N332" s="291"/>
      <c r="O332" s="292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</row>
    <row r="333" ht="14.25" customHeight="1">
      <c r="A333" s="32"/>
      <c r="B333" s="286"/>
      <c r="C333" s="286"/>
      <c r="D333" s="288"/>
      <c r="E333" s="289"/>
      <c r="F333" s="289"/>
      <c r="G333" s="289"/>
      <c r="H333" s="289"/>
      <c r="I333" s="289"/>
      <c r="J333" s="286"/>
      <c r="K333" s="290"/>
      <c r="L333" s="290"/>
      <c r="M333" s="286"/>
      <c r="N333" s="291"/>
      <c r="O333" s="292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</row>
    <row r="334" ht="14.25" customHeight="1">
      <c r="A334" s="32"/>
      <c r="B334" s="286"/>
      <c r="C334" s="286"/>
      <c r="D334" s="288"/>
      <c r="E334" s="289"/>
      <c r="F334" s="289"/>
      <c r="G334" s="289"/>
      <c r="H334" s="289"/>
      <c r="I334" s="289"/>
      <c r="J334" s="286"/>
      <c r="K334" s="290"/>
      <c r="L334" s="290"/>
      <c r="M334" s="286"/>
      <c r="N334" s="291"/>
      <c r="O334" s="292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</row>
    <row r="335" ht="14.25" customHeight="1">
      <c r="A335" s="32"/>
      <c r="B335" s="286"/>
      <c r="C335" s="286"/>
      <c r="D335" s="288"/>
      <c r="E335" s="289"/>
      <c r="F335" s="289"/>
      <c r="G335" s="289"/>
      <c r="H335" s="289"/>
      <c r="I335" s="289"/>
      <c r="J335" s="286"/>
      <c r="K335" s="290"/>
      <c r="L335" s="290"/>
      <c r="M335" s="286"/>
      <c r="N335" s="291"/>
      <c r="O335" s="292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</row>
    <row r="336" ht="14.25" customHeight="1">
      <c r="A336" s="32"/>
      <c r="B336" s="286"/>
      <c r="C336" s="286"/>
      <c r="D336" s="288"/>
      <c r="E336" s="289"/>
      <c r="F336" s="289"/>
      <c r="G336" s="289"/>
      <c r="H336" s="289"/>
      <c r="I336" s="289"/>
      <c r="J336" s="286"/>
      <c r="K336" s="290"/>
      <c r="L336" s="290"/>
      <c r="M336" s="286"/>
      <c r="N336" s="291"/>
      <c r="O336" s="292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</row>
    <row r="337" ht="14.25" customHeight="1">
      <c r="A337" s="32"/>
      <c r="B337" s="286"/>
      <c r="C337" s="286"/>
      <c r="D337" s="288"/>
      <c r="E337" s="289"/>
      <c r="F337" s="289"/>
      <c r="G337" s="289"/>
      <c r="H337" s="289"/>
      <c r="I337" s="289"/>
      <c r="J337" s="286"/>
      <c r="K337" s="290"/>
      <c r="L337" s="290"/>
      <c r="M337" s="286"/>
      <c r="N337" s="291"/>
      <c r="O337" s="292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</row>
    <row r="338" ht="14.25" customHeight="1">
      <c r="A338" s="32"/>
      <c r="B338" s="286"/>
      <c r="C338" s="286"/>
      <c r="D338" s="288"/>
      <c r="E338" s="289"/>
      <c r="F338" s="289"/>
      <c r="G338" s="289"/>
      <c r="H338" s="289"/>
      <c r="I338" s="289"/>
      <c r="J338" s="286"/>
      <c r="K338" s="290"/>
      <c r="L338" s="290"/>
      <c r="M338" s="286"/>
      <c r="N338" s="291"/>
      <c r="O338" s="292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</row>
    <row r="339" ht="14.25" customHeight="1">
      <c r="A339" s="32"/>
      <c r="B339" s="286"/>
      <c r="C339" s="286"/>
      <c r="D339" s="288"/>
      <c r="E339" s="289"/>
      <c r="F339" s="289"/>
      <c r="G339" s="289"/>
      <c r="H339" s="289"/>
      <c r="I339" s="289"/>
      <c r="J339" s="286"/>
      <c r="K339" s="290"/>
      <c r="L339" s="290"/>
      <c r="M339" s="286"/>
      <c r="N339" s="291"/>
      <c r="O339" s="292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</row>
    <row r="340" ht="14.25" customHeight="1">
      <c r="A340" s="32"/>
      <c r="B340" s="286"/>
      <c r="C340" s="286"/>
      <c r="D340" s="288"/>
      <c r="E340" s="289"/>
      <c r="F340" s="289"/>
      <c r="G340" s="289"/>
      <c r="H340" s="289"/>
      <c r="I340" s="289"/>
      <c r="J340" s="286"/>
      <c r="K340" s="290"/>
      <c r="L340" s="290"/>
      <c r="M340" s="286"/>
      <c r="N340" s="291"/>
      <c r="O340" s="292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</row>
    <row r="341" ht="14.25" customHeight="1">
      <c r="A341" s="32"/>
      <c r="B341" s="286"/>
      <c r="C341" s="286"/>
      <c r="D341" s="288"/>
      <c r="E341" s="289"/>
      <c r="F341" s="289"/>
      <c r="G341" s="289"/>
      <c r="H341" s="289"/>
      <c r="I341" s="289"/>
      <c r="J341" s="286"/>
      <c r="K341" s="290"/>
      <c r="L341" s="290"/>
      <c r="M341" s="286"/>
      <c r="N341" s="291"/>
      <c r="O341" s="292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</row>
    <row r="342" ht="14.25" customHeight="1">
      <c r="A342" s="32"/>
      <c r="B342" s="286"/>
      <c r="C342" s="286"/>
      <c r="D342" s="288"/>
      <c r="E342" s="289"/>
      <c r="F342" s="289"/>
      <c r="G342" s="289"/>
      <c r="H342" s="289"/>
      <c r="I342" s="289"/>
      <c r="J342" s="286"/>
      <c r="K342" s="290"/>
      <c r="L342" s="290"/>
      <c r="M342" s="286"/>
      <c r="N342" s="291"/>
      <c r="O342" s="292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</row>
    <row r="343" ht="14.25" customHeight="1">
      <c r="A343" s="32"/>
      <c r="B343" s="286"/>
      <c r="C343" s="286"/>
      <c r="D343" s="288"/>
      <c r="E343" s="289"/>
      <c r="F343" s="289"/>
      <c r="G343" s="289"/>
      <c r="H343" s="289"/>
      <c r="I343" s="289"/>
      <c r="J343" s="286"/>
      <c r="K343" s="290"/>
      <c r="L343" s="290"/>
      <c r="M343" s="286"/>
      <c r="N343" s="291"/>
      <c r="O343" s="292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</row>
    <row r="344" ht="14.25" customHeight="1">
      <c r="A344" s="32"/>
      <c r="B344" s="286"/>
      <c r="C344" s="286"/>
      <c r="D344" s="288"/>
      <c r="E344" s="289"/>
      <c r="F344" s="289"/>
      <c r="G344" s="289"/>
      <c r="H344" s="289"/>
      <c r="I344" s="289"/>
      <c r="J344" s="286"/>
      <c r="K344" s="290"/>
      <c r="L344" s="290"/>
      <c r="M344" s="286"/>
      <c r="N344" s="291"/>
      <c r="O344" s="292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</row>
    <row r="345" ht="14.25" customHeight="1">
      <c r="A345" s="32"/>
      <c r="B345" s="286"/>
      <c r="C345" s="286"/>
      <c r="D345" s="288"/>
      <c r="E345" s="289"/>
      <c r="F345" s="289"/>
      <c r="G345" s="289"/>
      <c r="H345" s="289"/>
      <c r="I345" s="289"/>
      <c r="J345" s="286"/>
      <c r="K345" s="290"/>
      <c r="L345" s="290"/>
      <c r="M345" s="286"/>
      <c r="N345" s="291"/>
      <c r="O345" s="292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</row>
    <row r="346" ht="14.25" customHeight="1">
      <c r="A346" s="32"/>
      <c r="B346" s="286"/>
      <c r="C346" s="286"/>
      <c r="D346" s="288"/>
      <c r="E346" s="289"/>
      <c r="F346" s="289"/>
      <c r="G346" s="289"/>
      <c r="H346" s="289"/>
      <c r="I346" s="289"/>
      <c r="J346" s="286"/>
      <c r="K346" s="290"/>
      <c r="L346" s="290"/>
      <c r="M346" s="286"/>
      <c r="N346" s="291"/>
      <c r="O346" s="292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</row>
    <row r="347" ht="14.25" customHeight="1">
      <c r="A347" s="32"/>
      <c r="B347" s="286"/>
      <c r="C347" s="286"/>
      <c r="D347" s="288"/>
      <c r="E347" s="289"/>
      <c r="F347" s="289"/>
      <c r="G347" s="289"/>
      <c r="H347" s="289"/>
      <c r="I347" s="289"/>
      <c r="J347" s="286"/>
      <c r="K347" s="290"/>
      <c r="L347" s="290"/>
      <c r="M347" s="286"/>
      <c r="N347" s="291"/>
      <c r="O347" s="292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</row>
    <row r="348" ht="14.25" customHeight="1">
      <c r="A348" s="32"/>
      <c r="B348" s="286"/>
      <c r="C348" s="286"/>
      <c r="D348" s="288"/>
      <c r="E348" s="289"/>
      <c r="F348" s="289"/>
      <c r="G348" s="289"/>
      <c r="H348" s="289"/>
      <c r="I348" s="289"/>
      <c r="J348" s="286"/>
      <c r="K348" s="290"/>
      <c r="L348" s="290"/>
      <c r="M348" s="286"/>
      <c r="N348" s="291"/>
      <c r="O348" s="292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</row>
    <row r="349" ht="14.25" customHeight="1">
      <c r="A349" s="32"/>
      <c r="B349" s="286"/>
      <c r="C349" s="286"/>
      <c r="D349" s="288"/>
      <c r="E349" s="289"/>
      <c r="F349" s="289"/>
      <c r="G349" s="289"/>
      <c r="H349" s="289"/>
      <c r="I349" s="289"/>
      <c r="J349" s="286"/>
      <c r="K349" s="290"/>
      <c r="L349" s="290"/>
      <c r="M349" s="286"/>
      <c r="N349" s="291"/>
      <c r="O349" s="292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</row>
    <row r="350" ht="14.25" customHeight="1">
      <c r="A350" s="32"/>
      <c r="B350" s="286"/>
      <c r="C350" s="286"/>
      <c r="D350" s="288"/>
      <c r="E350" s="289"/>
      <c r="F350" s="289"/>
      <c r="G350" s="289"/>
      <c r="H350" s="289"/>
      <c r="I350" s="289"/>
      <c r="J350" s="286"/>
      <c r="K350" s="290"/>
      <c r="L350" s="290"/>
      <c r="M350" s="286"/>
      <c r="N350" s="291"/>
      <c r="O350" s="292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</row>
    <row r="351" ht="14.25" customHeight="1">
      <c r="A351" s="32"/>
      <c r="B351" s="286"/>
      <c r="C351" s="286"/>
      <c r="D351" s="288"/>
      <c r="E351" s="289"/>
      <c r="F351" s="289"/>
      <c r="G351" s="289"/>
      <c r="H351" s="289"/>
      <c r="I351" s="289"/>
      <c r="J351" s="286"/>
      <c r="K351" s="290"/>
      <c r="L351" s="290"/>
      <c r="M351" s="286"/>
      <c r="N351" s="291"/>
      <c r="O351" s="292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</row>
    <row r="352" ht="14.25" customHeight="1">
      <c r="A352" s="32"/>
      <c r="B352" s="286"/>
      <c r="C352" s="286"/>
      <c r="D352" s="288"/>
      <c r="E352" s="289"/>
      <c r="F352" s="289"/>
      <c r="G352" s="289"/>
      <c r="H352" s="289"/>
      <c r="I352" s="289"/>
      <c r="J352" s="286"/>
      <c r="K352" s="290"/>
      <c r="L352" s="290"/>
      <c r="M352" s="286"/>
      <c r="N352" s="291"/>
      <c r="O352" s="292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</row>
    <row r="353" ht="14.25" customHeight="1">
      <c r="A353" s="32"/>
      <c r="B353" s="286"/>
      <c r="C353" s="286"/>
      <c r="D353" s="288"/>
      <c r="E353" s="289"/>
      <c r="F353" s="289"/>
      <c r="G353" s="289"/>
      <c r="H353" s="289"/>
      <c r="I353" s="289"/>
      <c r="J353" s="286"/>
      <c r="K353" s="290"/>
      <c r="L353" s="290"/>
      <c r="M353" s="286"/>
      <c r="N353" s="291"/>
      <c r="O353" s="292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</row>
    <row r="354" ht="14.25" customHeight="1">
      <c r="A354" s="32"/>
      <c r="B354" s="286"/>
      <c r="C354" s="286"/>
      <c r="D354" s="288"/>
      <c r="E354" s="289"/>
      <c r="F354" s="289"/>
      <c r="G354" s="289"/>
      <c r="H354" s="289"/>
      <c r="I354" s="289"/>
      <c r="J354" s="286"/>
      <c r="K354" s="290"/>
      <c r="L354" s="290"/>
      <c r="M354" s="286"/>
      <c r="N354" s="291"/>
      <c r="O354" s="292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</row>
    <row r="355" ht="14.25" customHeight="1">
      <c r="A355" s="32"/>
      <c r="B355" s="286"/>
      <c r="C355" s="286"/>
      <c r="D355" s="288"/>
      <c r="E355" s="289"/>
      <c r="F355" s="289"/>
      <c r="G355" s="289"/>
      <c r="H355" s="289"/>
      <c r="I355" s="289"/>
      <c r="J355" s="286"/>
      <c r="K355" s="290"/>
      <c r="L355" s="290"/>
      <c r="M355" s="286"/>
      <c r="N355" s="291"/>
      <c r="O355" s="292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</row>
    <row r="356" ht="14.25" customHeight="1">
      <c r="A356" s="32"/>
      <c r="B356" s="286"/>
      <c r="C356" s="286"/>
      <c r="D356" s="288"/>
      <c r="E356" s="289"/>
      <c r="F356" s="289"/>
      <c r="G356" s="289"/>
      <c r="H356" s="289"/>
      <c r="I356" s="289"/>
      <c r="J356" s="286"/>
      <c r="K356" s="290"/>
      <c r="L356" s="290"/>
      <c r="M356" s="286"/>
      <c r="N356" s="291"/>
      <c r="O356" s="292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</row>
    <row r="357" ht="14.25" customHeight="1">
      <c r="A357" s="32"/>
      <c r="B357" s="286"/>
      <c r="C357" s="286"/>
      <c r="D357" s="288"/>
      <c r="E357" s="289"/>
      <c r="F357" s="289"/>
      <c r="G357" s="289"/>
      <c r="H357" s="289"/>
      <c r="I357" s="289"/>
      <c r="J357" s="286"/>
      <c r="K357" s="290"/>
      <c r="L357" s="290"/>
      <c r="M357" s="286"/>
      <c r="N357" s="291"/>
      <c r="O357" s="292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</row>
    <row r="358" ht="14.25" customHeight="1">
      <c r="A358" s="32"/>
      <c r="B358" s="286"/>
      <c r="C358" s="286"/>
      <c r="D358" s="288"/>
      <c r="E358" s="289"/>
      <c r="F358" s="289"/>
      <c r="G358" s="289"/>
      <c r="H358" s="289"/>
      <c r="I358" s="289"/>
      <c r="J358" s="286"/>
      <c r="K358" s="290"/>
      <c r="L358" s="290"/>
      <c r="M358" s="286"/>
      <c r="N358" s="291"/>
      <c r="O358" s="292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</row>
    <row r="359" ht="14.25" customHeight="1">
      <c r="A359" s="32"/>
      <c r="B359" s="286"/>
      <c r="C359" s="286"/>
      <c r="D359" s="288"/>
      <c r="E359" s="289"/>
      <c r="F359" s="289"/>
      <c r="G359" s="289"/>
      <c r="H359" s="289"/>
      <c r="I359" s="289"/>
      <c r="J359" s="286"/>
      <c r="K359" s="290"/>
      <c r="L359" s="290"/>
      <c r="M359" s="286"/>
      <c r="N359" s="291"/>
      <c r="O359" s="292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</row>
    <row r="360" ht="14.25" customHeight="1">
      <c r="A360" s="32"/>
      <c r="B360" s="286"/>
      <c r="C360" s="286"/>
      <c r="D360" s="288"/>
      <c r="E360" s="289"/>
      <c r="F360" s="289"/>
      <c r="G360" s="289"/>
      <c r="H360" s="289"/>
      <c r="I360" s="289"/>
      <c r="J360" s="286"/>
      <c r="K360" s="290"/>
      <c r="L360" s="290"/>
      <c r="M360" s="286"/>
      <c r="N360" s="291"/>
      <c r="O360" s="292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</row>
    <row r="361" ht="14.25" customHeight="1">
      <c r="A361" s="32"/>
      <c r="B361" s="286"/>
      <c r="C361" s="286"/>
      <c r="D361" s="288"/>
      <c r="E361" s="289"/>
      <c r="F361" s="289"/>
      <c r="G361" s="289"/>
      <c r="H361" s="289"/>
      <c r="I361" s="289"/>
      <c r="J361" s="286"/>
      <c r="K361" s="290"/>
      <c r="L361" s="290"/>
      <c r="M361" s="286"/>
      <c r="N361" s="291"/>
      <c r="O361" s="292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</row>
    <row r="362" ht="14.25" customHeight="1">
      <c r="A362" s="32"/>
      <c r="B362" s="286"/>
      <c r="C362" s="286"/>
      <c r="D362" s="288"/>
      <c r="E362" s="289"/>
      <c r="F362" s="289"/>
      <c r="G362" s="289"/>
      <c r="H362" s="289"/>
      <c r="I362" s="289"/>
      <c r="J362" s="286"/>
      <c r="K362" s="290"/>
      <c r="L362" s="290"/>
      <c r="M362" s="286"/>
      <c r="N362" s="291"/>
      <c r="O362" s="292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</row>
    <row r="363" ht="14.25" customHeight="1">
      <c r="A363" s="32"/>
      <c r="B363" s="286"/>
      <c r="C363" s="286"/>
      <c r="D363" s="288"/>
      <c r="E363" s="289"/>
      <c r="F363" s="289"/>
      <c r="G363" s="289"/>
      <c r="H363" s="289"/>
      <c r="I363" s="289"/>
      <c r="J363" s="286"/>
      <c r="K363" s="290"/>
      <c r="L363" s="290"/>
      <c r="M363" s="286"/>
      <c r="N363" s="291"/>
      <c r="O363" s="292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</row>
    <row r="364" ht="14.25" customHeight="1">
      <c r="A364" s="32"/>
      <c r="B364" s="286"/>
      <c r="C364" s="286"/>
      <c r="D364" s="288"/>
      <c r="E364" s="289"/>
      <c r="F364" s="289"/>
      <c r="G364" s="289"/>
      <c r="H364" s="289"/>
      <c r="I364" s="289"/>
      <c r="J364" s="286"/>
      <c r="K364" s="290"/>
      <c r="L364" s="290"/>
      <c r="M364" s="286"/>
      <c r="N364" s="291"/>
      <c r="O364" s="292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</row>
    <row r="365" ht="14.25" customHeight="1">
      <c r="A365" s="32"/>
      <c r="B365" s="286"/>
      <c r="C365" s="286"/>
      <c r="D365" s="288"/>
      <c r="E365" s="289"/>
      <c r="F365" s="289"/>
      <c r="G365" s="289"/>
      <c r="H365" s="289"/>
      <c r="I365" s="289"/>
      <c r="J365" s="286"/>
      <c r="K365" s="290"/>
      <c r="L365" s="290"/>
      <c r="M365" s="286"/>
      <c r="N365" s="291"/>
      <c r="O365" s="292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</row>
    <row r="366" ht="14.25" customHeight="1">
      <c r="A366" s="32"/>
      <c r="B366" s="286"/>
      <c r="C366" s="286"/>
      <c r="D366" s="288"/>
      <c r="E366" s="289"/>
      <c r="F366" s="289"/>
      <c r="G366" s="289"/>
      <c r="H366" s="289"/>
      <c r="I366" s="289"/>
      <c r="J366" s="286"/>
      <c r="K366" s="290"/>
      <c r="L366" s="290"/>
      <c r="M366" s="286"/>
      <c r="N366" s="291"/>
      <c r="O366" s="292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</row>
    <row r="367" ht="14.25" customHeight="1">
      <c r="A367" s="32"/>
      <c r="B367" s="286"/>
      <c r="C367" s="286"/>
      <c r="D367" s="288"/>
      <c r="E367" s="289"/>
      <c r="F367" s="289"/>
      <c r="G367" s="289"/>
      <c r="H367" s="289"/>
      <c r="I367" s="289"/>
      <c r="J367" s="286"/>
      <c r="K367" s="290"/>
      <c r="L367" s="290"/>
      <c r="M367" s="286"/>
      <c r="N367" s="291"/>
      <c r="O367" s="292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</row>
    <row r="368" ht="14.25" customHeight="1">
      <c r="A368" s="32"/>
      <c r="B368" s="286"/>
      <c r="C368" s="286"/>
      <c r="D368" s="288"/>
      <c r="E368" s="289"/>
      <c r="F368" s="289"/>
      <c r="G368" s="289"/>
      <c r="H368" s="289"/>
      <c r="I368" s="289"/>
      <c r="J368" s="286"/>
      <c r="K368" s="290"/>
      <c r="L368" s="290"/>
      <c r="M368" s="286"/>
      <c r="N368" s="291"/>
      <c r="O368" s="292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</row>
    <row r="369" ht="14.25" customHeight="1">
      <c r="A369" s="32"/>
      <c r="B369" s="286"/>
      <c r="C369" s="286"/>
      <c r="D369" s="288"/>
      <c r="E369" s="289"/>
      <c r="F369" s="289"/>
      <c r="G369" s="289"/>
      <c r="H369" s="289"/>
      <c r="I369" s="289"/>
      <c r="J369" s="286"/>
      <c r="K369" s="290"/>
      <c r="L369" s="290"/>
      <c r="M369" s="286"/>
      <c r="N369" s="291"/>
      <c r="O369" s="292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</row>
    <row r="370" ht="14.25" customHeight="1">
      <c r="A370" s="32"/>
      <c r="B370" s="286"/>
      <c r="C370" s="286"/>
      <c r="D370" s="288"/>
      <c r="E370" s="289"/>
      <c r="F370" s="289"/>
      <c r="G370" s="289"/>
      <c r="H370" s="289"/>
      <c r="I370" s="289"/>
      <c r="J370" s="286"/>
      <c r="K370" s="290"/>
      <c r="L370" s="290"/>
      <c r="M370" s="286"/>
      <c r="N370" s="291"/>
      <c r="O370" s="292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</row>
    <row r="371" ht="14.25" customHeight="1">
      <c r="A371" s="32"/>
      <c r="B371" s="286"/>
      <c r="C371" s="286"/>
      <c r="D371" s="288"/>
      <c r="E371" s="289"/>
      <c r="F371" s="289"/>
      <c r="G371" s="289"/>
      <c r="H371" s="289"/>
      <c r="I371" s="289"/>
      <c r="J371" s="286"/>
      <c r="K371" s="290"/>
      <c r="L371" s="290"/>
      <c r="M371" s="286"/>
      <c r="N371" s="291"/>
      <c r="O371" s="292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</row>
    <row r="372" ht="14.25" customHeight="1">
      <c r="A372" s="32"/>
      <c r="B372" s="286"/>
      <c r="C372" s="286"/>
      <c r="D372" s="288"/>
      <c r="E372" s="289"/>
      <c r="F372" s="289"/>
      <c r="G372" s="289"/>
      <c r="H372" s="289"/>
      <c r="I372" s="289"/>
      <c r="J372" s="286"/>
      <c r="K372" s="290"/>
      <c r="L372" s="290"/>
      <c r="M372" s="286"/>
      <c r="N372" s="291"/>
      <c r="O372" s="292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</row>
    <row r="373" ht="14.25" customHeight="1">
      <c r="A373" s="32"/>
      <c r="B373" s="286"/>
      <c r="C373" s="286"/>
      <c r="D373" s="288"/>
      <c r="E373" s="289"/>
      <c r="F373" s="289"/>
      <c r="G373" s="289"/>
      <c r="H373" s="289"/>
      <c r="I373" s="289"/>
      <c r="J373" s="286"/>
      <c r="K373" s="290"/>
      <c r="L373" s="290"/>
      <c r="M373" s="286"/>
      <c r="N373" s="291"/>
      <c r="O373" s="292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</row>
    <row r="374" ht="14.25" customHeight="1">
      <c r="A374" s="32"/>
      <c r="B374" s="286"/>
      <c r="C374" s="286"/>
      <c r="D374" s="288"/>
      <c r="E374" s="289"/>
      <c r="F374" s="289"/>
      <c r="G374" s="289"/>
      <c r="H374" s="289"/>
      <c r="I374" s="289"/>
      <c r="J374" s="286"/>
      <c r="K374" s="290"/>
      <c r="L374" s="290"/>
      <c r="M374" s="286"/>
      <c r="N374" s="291"/>
      <c r="O374" s="292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</row>
    <row r="375" ht="14.25" customHeight="1">
      <c r="A375" s="32"/>
      <c r="B375" s="286"/>
      <c r="C375" s="286"/>
      <c r="D375" s="288"/>
      <c r="E375" s="289"/>
      <c r="F375" s="289"/>
      <c r="G375" s="289"/>
      <c r="H375" s="289"/>
      <c r="I375" s="289"/>
      <c r="J375" s="286"/>
      <c r="K375" s="290"/>
      <c r="L375" s="290"/>
      <c r="M375" s="286"/>
      <c r="N375" s="291"/>
      <c r="O375" s="292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</row>
    <row r="376" ht="14.25" customHeight="1">
      <c r="A376" s="32"/>
      <c r="B376" s="286"/>
      <c r="C376" s="286"/>
      <c r="D376" s="288"/>
      <c r="E376" s="289"/>
      <c r="F376" s="289"/>
      <c r="G376" s="289"/>
      <c r="H376" s="289"/>
      <c r="I376" s="289"/>
      <c r="J376" s="286"/>
      <c r="K376" s="290"/>
      <c r="L376" s="290"/>
      <c r="M376" s="286"/>
      <c r="N376" s="291"/>
      <c r="O376" s="292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</row>
    <row r="377" ht="14.25" customHeight="1">
      <c r="A377" s="32"/>
      <c r="B377" s="286"/>
      <c r="C377" s="286"/>
      <c r="D377" s="288"/>
      <c r="E377" s="289"/>
      <c r="F377" s="289"/>
      <c r="G377" s="289"/>
      <c r="H377" s="289"/>
      <c r="I377" s="289"/>
      <c r="J377" s="286"/>
      <c r="K377" s="290"/>
      <c r="L377" s="290"/>
      <c r="M377" s="286"/>
      <c r="N377" s="291"/>
      <c r="O377" s="292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</row>
    <row r="378" ht="14.25" customHeight="1">
      <c r="A378" s="32"/>
      <c r="B378" s="286"/>
      <c r="C378" s="286"/>
      <c r="D378" s="288"/>
      <c r="E378" s="289"/>
      <c r="F378" s="289"/>
      <c r="G378" s="289"/>
      <c r="H378" s="289"/>
      <c r="I378" s="289"/>
      <c r="J378" s="286"/>
      <c r="K378" s="290"/>
      <c r="L378" s="290"/>
      <c r="M378" s="286"/>
      <c r="N378" s="291"/>
      <c r="O378" s="292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</row>
    <row r="379" ht="14.25" customHeight="1">
      <c r="A379" s="32"/>
      <c r="B379" s="286"/>
      <c r="C379" s="286"/>
      <c r="D379" s="288"/>
      <c r="E379" s="289"/>
      <c r="F379" s="289"/>
      <c r="G379" s="289"/>
      <c r="H379" s="289"/>
      <c r="I379" s="289"/>
      <c r="J379" s="286"/>
      <c r="K379" s="290"/>
      <c r="L379" s="290"/>
      <c r="M379" s="286"/>
      <c r="N379" s="291"/>
      <c r="O379" s="292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</row>
    <row r="380" ht="14.25" customHeight="1">
      <c r="A380" s="32"/>
      <c r="B380" s="286"/>
      <c r="C380" s="286"/>
      <c r="D380" s="288"/>
      <c r="E380" s="289"/>
      <c r="F380" s="289"/>
      <c r="G380" s="289"/>
      <c r="H380" s="289"/>
      <c r="I380" s="289"/>
      <c r="J380" s="286"/>
      <c r="K380" s="290"/>
      <c r="L380" s="290"/>
      <c r="M380" s="286"/>
      <c r="N380" s="291"/>
      <c r="O380" s="292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</row>
    <row r="381" ht="14.25" customHeight="1">
      <c r="A381" s="32"/>
      <c r="B381" s="286"/>
      <c r="C381" s="286"/>
      <c r="D381" s="288"/>
      <c r="E381" s="289"/>
      <c r="F381" s="289"/>
      <c r="G381" s="289"/>
      <c r="H381" s="289"/>
      <c r="I381" s="289"/>
      <c r="J381" s="286"/>
      <c r="K381" s="290"/>
      <c r="L381" s="290"/>
      <c r="M381" s="286"/>
      <c r="N381" s="291"/>
      <c r="O381" s="292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</row>
    <row r="382" ht="14.25" customHeight="1">
      <c r="A382" s="32"/>
      <c r="B382" s="286"/>
      <c r="C382" s="286"/>
      <c r="D382" s="288"/>
      <c r="E382" s="289"/>
      <c r="F382" s="289"/>
      <c r="G382" s="289"/>
      <c r="H382" s="289"/>
      <c r="I382" s="289"/>
      <c r="J382" s="286"/>
      <c r="K382" s="290"/>
      <c r="L382" s="290"/>
      <c r="M382" s="286"/>
      <c r="N382" s="291"/>
      <c r="O382" s="292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</row>
    <row r="383" ht="14.25" customHeight="1">
      <c r="A383" s="32"/>
      <c r="B383" s="286"/>
      <c r="C383" s="286"/>
      <c r="D383" s="288"/>
      <c r="E383" s="289"/>
      <c r="F383" s="289"/>
      <c r="G383" s="289"/>
      <c r="H383" s="289"/>
      <c r="I383" s="289"/>
      <c r="J383" s="286"/>
      <c r="K383" s="290"/>
      <c r="L383" s="290"/>
      <c r="M383" s="286"/>
      <c r="N383" s="291"/>
      <c r="O383" s="292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</row>
    <row r="384" ht="14.25" customHeight="1">
      <c r="A384" s="32"/>
      <c r="B384" s="286"/>
      <c r="C384" s="286"/>
      <c r="D384" s="288"/>
      <c r="E384" s="289"/>
      <c r="F384" s="289"/>
      <c r="G384" s="289"/>
      <c r="H384" s="289"/>
      <c r="I384" s="289"/>
      <c r="J384" s="286"/>
      <c r="K384" s="290"/>
      <c r="L384" s="290"/>
      <c r="M384" s="286"/>
      <c r="N384" s="291"/>
      <c r="O384" s="292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</row>
    <row r="385" ht="14.25" customHeight="1">
      <c r="A385" s="32"/>
      <c r="B385" s="286"/>
      <c r="C385" s="286"/>
      <c r="D385" s="288"/>
      <c r="E385" s="289"/>
      <c r="F385" s="289"/>
      <c r="G385" s="289"/>
      <c r="H385" s="289"/>
      <c r="I385" s="289"/>
      <c r="J385" s="286"/>
      <c r="K385" s="290"/>
      <c r="L385" s="290"/>
      <c r="M385" s="286"/>
      <c r="N385" s="291"/>
      <c r="O385" s="292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</row>
    <row r="386" ht="14.25" customHeight="1">
      <c r="A386" s="32"/>
      <c r="B386" s="286"/>
      <c r="C386" s="286"/>
      <c r="D386" s="288"/>
      <c r="E386" s="289"/>
      <c r="F386" s="289"/>
      <c r="G386" s="289"/>
      <c r="H386" s="289"/>
      <c r="I386" s="289"/>
      <c r="J386" s="286"/>
      <c r="K386" s="290"/>
      <c r="L386" s="290"/>
      <c r="M386" s="286"/>
      <c r="N386" s="291"/>
      <c r="O386" s="292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</row>
    <row r="387" ht="14.25" customHeight="1">
      <c r="A387" s="32"/>
      <c r="B387" s="286"/>
      <c r="C387" s="286"/>
      <c r="D387" s="288"/>
      <c r="E387" s="289"/>
      <c r="F387" s="289"/>
      <c r="G387" s="289"/>
      <c r="H387" s="289"/>
      <c r="I387" s="289"/>
      <c r="J387" s="286"/>
      <c r="K387" s="290"/>
      <c r="L387" s="290"/>
      <c r="M387" s="286"/>
      <c r="N387" s="291"/>
      <c r="O387" s="292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</row>
    <row r="388" ht="14.25" customHeight="1">
      <c r="A388" s="32"/>
      <c r="B388" s="286"/>
      <c r="C388" s="286"/>
      <c r="D388" s="288"/>
      <c r="E388" s="289"/>
      <c r="F388" s="289"/>
      <c r="G388" s="289"/>
      <c r="H388" s="289"/>
      <c r="I388" s="289"/>
      <c r="J388" s="286"/>
      <c r="K388" s="290"/>
      <c r="L388" s="290"/>
      <c r="M388" s="286"/>
      <c r="N388" s="291"/>
      <c r="O388" s="292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</row>
    <row r="389" ht="14.25" customHeight="1">
      <c r="A389" s="32"/>
      <c r="B389" s="286"/>
      <c r="C389" s="286"/>
      <c r="D389" s="288"/>
      <c r="E389" s="289"/>
      <c r="F389" s="289"/>
      <c r="G389" s="289"/>
      <c r="H389" s="289"/>
      <c r="I389" s="289"/>
      <c r="J389" s="286"/>
      <c r="K389" s="290"/>
      <c r="L389" s="290"/>
      <c r="M389" s="286"/>
      <c r="N389" s="291"/>
      <c r="O389" s="292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</row>
    <row r="390" ht="14.25" customHeight="1">
      <c r="A390" s="32"/>
      <c r="B390" s="286"/>
      <c r="C390" s="286"/>
      <c r="D390" s="288"/>
      <c r="E390" s="289"/>
      <c r="F390" s="289"/>
      <c r="G390" s="289"/>
      <c r="H390" s="289"/>
      <c r="I390" s="289"/>
      <c r="J390" s="286"/>
      <c r="K390" s="290"/>
      <c r="L390" s="290"/>
      <c r="M390" s="286"/>
      <c r="N390" s="291"/>
      <c r="O390" s="292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</row>
    <row r="391" ht="14.25" customHeight="1">
      <c r="A391" s="32"/>
      <c r="B391" s="286"/>
      <c r="C391" s="286"/>
      <c r="D391" s="288"/>
      <c r="E391" s="289"/>
      <c r="F391" s="289"/>
      <c r="G391" s="289"/>
      <c r="H391" s="289"/>
      <c r="I391" s="289"/>
      <c r="J391" s="286"/>
      <c r="K391" s="290"/>
      <c r="L391" s="290"/>
      <c r="M391" s="286"/>
      <c r="N391" s="291"/>
      <c r="O391" s="292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</row>
    <row r="392" ht="14.25" customHeight="1">
      <c r="A392" s="32"/>
      <c r="B392" s="286"/>
      <c r="C392" s="286"/>
      <c r="D392" s="288"/>
      <c r="E392" s="289"/>
      <c r="F392" s="289"/>
      <c r="G392" s="289"/>
      <c r="H392" s="289"/>
      <c r="I392" s="289"/>
      <c r="J392" s="286"/>
      <c r="K392" s="290"/>
      <c r="L392" s="290"/>
      <c r="M392" s="286"/>
      <c r="N392" s="291"/>
      <c r="O392" s="292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</row>
    <row r="393" ht="14.25" customHeight="1">
      <c r="A393" s="32"/>
      <c r="B393" s="286"/>
      <c r="C393" s="286"/>
      <c r="D393" s="288"/>
      <c r="E393" s="289"/>
      <c r="F393" s="289"/>
      <c r="G393" s="289"/>
      <c r="H393" s="289"/>
      <c r="I393" s="289"/>
      <c r="J393" s="286"/>
      <c r="K393" s="290"/>
      <c r="L393" s="290"/>
      <c r="M393" s="286"/>
      <c r="N393" s="291"/>
      <c r="O393" s="292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</row>
    <row r="394" ht="14.25" customHeight="1">
      <c r="A394" s="32"/>
      <c r="B394" s="286"/>
      <c r="C394" s="286"/>
      <c r="D394" s="288"/>
      <c r="E394" s="289"/>
      <c r="F394" s="289"/>
      <c r="G394" s="289"/>
      <c r="H394" s="289"/>
      <c r="I394" s="289"/>
      <c r="J394" s="286"/>
      <c r="K394" s="290"/>
      <c r="L394" s="290"/>
      <c r="M394" s="286"/>
      <c r="N394" s="291"/>
      <c r="O394" s="292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</row>
    <row r="395" ht="14.25" customHeight="1">
      <c r="A395" s="32"/>
      <c r="B395" s="286"/>
      <c r="C395" s="286"/>
      <c r="D395" s="288"/>
      <c r="E395" s="289"/>
      <c r="F395" s="289"/>
      <c r="G395" s="289"/>
      <c r="H395" s="289"/>
      <c r="I395" s="289"/>
      <c r="J395" s="286"/>
      <c r="K395" s="290"/>
      <c r="L395" s="290"/>
      <c r="M395" s="286"/>
      <c r="N395" s="291"/>
      <c r="O395" s="292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</row>
    <row r="396" ht="14.25" customHeight="1">
      <c r="A396" s="32"/>
      <c r="B396" s="286"/>
      <c r="C396" s="286"/>
      <c r="D396" s="288"/>
      <c r="E396" s="289"/>
      <c r="F396" s="289"/>
      <c r="G396" s="289"/>
      <c r="H396" s="289"/>
      <c r="I396" s="289"/>
      <c r="J396" s="286"/>
      <c r="K396" s="290"/>
      <c r="L396" s="290"/>
      <c r="M396" s="286"/>
      <c r="N396" s="291"/>
      <c r="O396" s="292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</row>
    <row r="397" ht="14.25" customHeight="1">
      <c r="A397" s="32"/>
      <c r="B397" s="286"/>
      <c r="C397" s="286"/>
      <c r="D397" s="288"/>
      <c r="E397" s="289"/>
      <c r="F397" s="289"/>
      <c r="G397" s="289"/>
      <c r="H397" s="289"/>
      <c r="I397" s="289"/>
      <c r="J397" s="286"/>
      <c r="K397" s="290"/>
      <c r="L397" s="290"/>
      <c r="M397" s="286"/>
      <c r="N397" s="291"/>
      <c r="O397" s="292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</row>
    <row r="398" ht="14.25" customHeight="1">
      <c r="A398" s="32"/>
      <c r="B398" s="286"/>
      <c r="C398" s="286"/>
      <c r="D398" s="288"/>
      <c r="E398" s="289"/>
      <c r="F398" s="289"/>
      <c r="G398" s="289"/>
      <c r="H398" s="289"/>
      <c r="I398" s="289"/>
      <c r="J398" s="286"/>
      <c r="K398" s="290"/>
      <c r="L398" s="290"/>
      <c r="M398" s="286"/>
      <c r="N398" s="291"/>
      <c r="O398" s="292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</row>
    <row r="399" ht="14.25" customHeight="1">
      <c r="A399" s="32"/>
      <c r="B399" s="286"/>
      <c r="C399" s="286"/>
      <c r="D399" s="288"/>
      <c r="E399" s="289"/>
      <c r="F399" s="289"/>
      <c r="G399" s="289"/>
      <c r="H399" s="289"/>
      <c r="I399" s="289"/>
      <c r="J399" s="286"/>
      <c r="K399" s="290"/>
      <c r="L399" s="290"/>
      <c r="M399" s="286"/>
      <c r="N399" s="291"/>
      <c r="O399" s="292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</row>
    <row r="400" ht="14.25" customHeight="1">
      <c r="A400" s="32"/>
      <c r="B400" s="286"/>
      <c r="C400" s="286"/>
      <c r="D400" s="288"/>
      <c r="E400" s="289"/>
      <c r="F400" s="289"/>
      <c r="G400" s="289"/>
      <c r="H400" s="289"/>
      <c r="I400" s="289"/>
      <c r="J400" s="286"/>
      <c r="K400" s="290"/>
      <c r="L400" s="290"/>
      <c r="M400" s="286"/>
      <c r="N400" s="291"/>
      <c r="O400" s="292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</row>
    <row r="401" ht="14.25" customHeight="1">
      <c r="A401" s="32"/>
      <c r="B401" s="286"/>
      <c r="C401" s="286"/>
      <c r="D401" s="288"/>
      <c r="E401" s="289"/>
      <c r="F401" s="289"/>
      <c r="G401" s="289"/>
      <c r="H401" s="289"/>
      <c r="I401" s="289"/>
      <c r="J401" s="286"/>
      <c r="K401" s="290"/>
      <c r="L401" s="290"/>
      <c r="M401" s="286"/>
      <c r="N401" s="291"/>
      <c r="O401" s="292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</row>
    <row r="402" ht="14.25" customHeight="1">
      <c r="A402" s="32"/>
      <c r="B402" s="286"/>
      <c r="C402" s="286"/>
      <c r="D402" s="288"/>
      <c r="E402" s="289"/>
      <c r="F402" s="289"/>
      <c r="G402" s="289"/>
      <c r="H402" s="289"/>
      <c r="I402" s="289"/>
      <c r="J402" s="286"/>
      <c r="K402" s="290"/>
      <c r="L402" s="290"/>
      <c r="M402" s="286"/>
      <c r="N402" s="291"/>
      <c r="O402" s="292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</row>
    <row r="403" ht="14.25" customHeight="1">
      <c r="A403" s="32"/>
      <c r="B403" s="286"/>
      <c r="C403" s="286"/>
      <c r="D403" s="288"/>
      <c r="E403" s="289"/>
      <c r="F403" s="289"/>
      <c r="G403" s="289"/>
      <c r="H403" s="289"/>
      <c r="I403" s="289"/>
      <c r="J403" s="286"/>
      <c r="K403" s="290"/>
      <c r="L403" s="290"/>
      <c r="M403" s="286"/>
      <c r="N403" s="291"/>
      <c r="O403" s="292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</row>
    <row r="404" ht="14.25" customHeight="1">
      <c r="A404" s="32"/>
      <c r="B404" s="286"/>
      <c r="C404" s="286"/>
      <c r="D404" s="288"/>
      <c r="E404" s="289"/>
      <c r="F404" s="289"/>
      <c r="G404" s="289"/>
      <c r="H404" s="289"/>
      <c r="I404" s="289"/>
      <c r="J404" s="286"/>
      <c r="K404" s="290"/>
      <c r="L404" s="290"/>
      <c r="M404" s="286"/>
      <c r="N404" s="291"/>
      <c r="O404" s="292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</row>
    <row r="405" ht="14.25" customHeight="1">
      <c r="A405" s="32"/>
      <c r="B405" s="286"/>
      <c r="C405" s="286"/>
      <c r="D405" s="288"/>
      <c r="E405" s="289"/>
      <c r="F405" s="289"/>
      <c r="G405" s="289"/>
      <c r="H405" s="289"/>
      <c r="I405" s="289"/>
      <c r="J405" s="286"/>
      <c r="K405" s="290"/>
      <c r="L405" s="290"/>
      <c r="M405" s="286"/>
      <c r="N405" s="291"/>
      <c r="O405" s="292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</row>
    <row r="406" ht="14.25" customHeight="1">
      <c r="A406" s="32"/>
      <c r="B406" s="286"/>
      <c r="C406" s="286"/>
      <c r="D406" s="288"/>
      <c r="E406" s="289"/>
      <c r="F406" s="289"/>
      <c r="G406" s="289"/>
      <c r="H406" s="289"/>
      <c r="I406" s="289"/>
      <c r="J406" s="286"/>
      <c r="K406" s="290"/>
      <c r="L406" s="290"/>
      <c r="M406" s="286"/>
      <c r="N406" s="291"/>
      <c r="O406" s="292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</row>
    <row r="407" ht="14.25" customHeight="1">
      <c r="A407" s="32"/>
      <c r="B407" s="286"/>
      <c r="C407" s="286"/>
      <c r="D407" s="288"/>
      <c r="E407" s="289"/>
      <c r="F407" s="289"/>
      <c r="G407" s="289"/>
      <c r="H407" s="289"/>
      <c r="I407" s="289"/>
      <c r="J407" s="286"/>
      <c r="K407" s="290"/>
      <c r="L407" s="290"/>
      <c r="M407" s="286"/>
      <c r="N407" s="291"/>
      <c r="O407" s="292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</row>
    <row r="408" ht="14.25" customHeight="1">
      <c r="A408" s="32"/>
      <c r="B408" s="286"/>
      <c r="C408" s="286"/>
      <c r="D408" s="288"/>
      <c r="E408" s="289"/>
      <c r="F408" s="289"/>
      <c r="G408" s="289"/>
      <c r="H408" s="289"/>
      <c r="I408" s="289"/>
      <c r="J408" s="286"/>
      <c r="K408" s="290"/>
      <c r="L408" s="290"/>
      <c r="M408" s="286"/>
      <c r="N408" s="291"/>
      <c r="O408" s="292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</row>
    <row r="409" ht="14.25" customHeight="1">
      <c r="A409" s="32"/>
      <c r="B409" s="286"/>
      <c r="C409" s="286"/>
      <c r="D409" s="288"/>
      <c r="E409" s="289"/>
      <c r="F409" s="289"/>
      <c r="G409" s="289"/>
      <c r="H409" s="289"/>
      <c r="I409" s="289"/>
      <c r="J409" s="286"/>
      <c r="K409" s="290"/>
      <c r="L409" s="290"/>
      <c r="M409" s="286"/>
      <c r="N409" s="291"/>
      <c r="O409" s="292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</row>
    <row r="410" ht="14.25" customHeight="1">
      <c r="A410" s="32"/>
      <c r="B410" s="286"/>
      <c r="C410" s="286"/>
      <c r="D410" s="288"/>
      <c r="E410" s="289"/>
      <c r="F410" s="289"/>
      <c r="G410" s="289"/>
      <c r="H410" s="289"/>
      <c r="I410" s="289"/>
      <c r="J410" s="286"/>
      <c r="K410" s="290"/>
      <c r="L410" s="290"/>
      <c r="M410" s="286"/>
      <c r="N410" s="291"/>
      <c r="O410" s="292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</row>
    <row r="411" ht="14.25" customHeight="1">
      <c r="A411" s="32"/>
      <c r="B411" s="286"/>
      <c r="C411" s="286"/>
      <c r="D411" s="288"/>
      <c r="E411" s="289"/>
      <c r="F411" s="289"/>
      <c r="G411" s="289"/>
      <c r="H411" s="289"/>
      <c r="I411" s="289"/>
      <c r="J411" s="286"/>
      <c r="K411" s="290"/>
      <c r="L411" s="290"/>
      <c r="M411" s="286"/>
      <c r="N411" s="291"/>
      <c r="O411" s="292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</row>
    <row r="412" ht="14.25" customHeight="1">
      <c r="A412" s="32"/>
      <c r="B412" s="286"/>
      <c r="C412" s="286"/>
      <c r="D412" s="288"/>
      <c r="E412" s="289"/>
      <c r="F412" s="289"/>
      <c r="G412" s="289"/>
      <c r="H412" s="289"/>
      <c r="I412" s="289"/>
      <c r="J412" s="286"/>
      <c r="K412" s="290"/>
      <c r="L412" s="290"/>
      <c r="M412" s="286"/>
      <c r="N412" s="291"/>
      <c r="O412" s="292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</row>
    <row r="413" ht="14.25" customHeight="1">
      <c r="A413" s="32"/>
      <c r="B413" s="286"/>
      <c r="C413" s="286"/>
      <c r="D413" s="288"/>
      <c r="E413" s="289"/>
      <c r="F413" s="289"/>
      <c r="G413" s="289"/>
      <c r="H413" s="289"/>
      <c r="I413" s="289"/>
      <c r="J413" s="286"/>
      <c r="K413" s="290"/>
      <c r="L413" s="290"/>
      <c r="M413" s="286"/>
      <c r="N413" s="291"/>
      <c r="O413" s="292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</row>
    <row r="414" ht="14.25" customHeight="1">
      <c r="A414" s="32"/>
      <c r="B414" s="286"/>
      <c r="C414" s="286"/>
      <c r="D414" s="288"/>
      <c r="E414" s="289"/>
      <c r="F414" s="289"/>
      <c r="G414" s="289"/>
      <c r="H414" s="289"/>
      <c r="I414" s="289"/>
      <c r="J414" s="286"/>
      <c r="K414" s="290"/>
      <c r="L414" s="290"/>
      <c r="M414" s="286"/>
      <c r="N414" s="291"/>
      <c r="O414" s="292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</row>
    <row r="415" ht="14.25" customHeight="1">
      <c r="A415" s="32"/>
      <c r="B415" s="286"/>
      <c r="C415" s="286"/>
      <c r="D415" s="288"/>
      <c r="E415" s="289"/>
      <c r="F415" s="289"/>
      <c r="G415" s="289"/>
      <c r="H415" s="289"/>
      <c r="I415" s="289"/>
      <c r="J415" s="286"/>
      <c r="K415" s="290"/>
      <c r="L415" s="290"/>
      <c r="M415" s="286"/>
      <c r="N415" s="291"/>
      <c r="O415" s="292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</row>
    <row r="416" ht="14.25" customHeight="1">
      <c r="A416" s="32"/>
      <c r="B416" s="286"/>
      <c r="C416" s="286"/>
      <c r="D416" s="288"/>
      <c r="E416" s="289"/>
      <c r="F416" s="289"/>
      <c r="G416" s="289"/>
      <c r="H416" s="289"/>
      <c r="I416" s="289"/>
      <c r="J416" s="286"/>
      <c r="K416" s="290"/>
      <c r="L416" s="290"/>
      <c r="M416" s="286"/>
      <c r="N416" s="291"/>
      <c r="O416" s="292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</row>
    <row r="417" ht="14.25" customHeight="1">
      <c r="A417" s="32"/>
      <c r="B417" s="286"/>
      <c r="C417" s="286"/>
      <c r="D417" s="288"/>
      <c r="E417" s="289"/>
      <c r="F417" s="289"/>
      <c r="G417" s="289"/>
      <c r="H417" s="289"/>
      <c r="I417" s="289"/>
      <c r="J417" s="286"/>
      <c r="K417" s="290"/>
      <c r="L417" s="290"/>
      <c r="M417" s="286"/>
      <c r="N417" s="291"/>
      <c r="O417" s="292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</row>
    <row r="418" ht="14.25" customHeight="1">
      <c r="A418" s="32"/>
      <c r="B418" s="286"/>
      <c r="C418" s="286"/>
      <c r="D418" s="288"/>
      <c r="E418" s="289"/>
      <c r="F418" s="289"/>
      <c r="G418" s="289"/>
      <c r="H418" s="289"/>
      <c r="I418" s="289"/>
      <c r="J418" s="286"/>
      <c r="K418" s="290"/>
      <c r="L418" s="290"/>
      <c r="M418" s="286"/>
      <c r="N418" s="291"/>
      <c r="O418" s="292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</row>
    <row r="419" ht="14.25" customHeight="1">
      <c r="A419" s="32"/>
      <c r="B419" s="286"/>
      <c r="C419" s="286"/>
      <c r="D419" s="288"/>
      <c r="E419" s="289"/>
      <c r="F419" s="289"/>
      <c r="G419" s="289"/>
      <c r="H419" s="289"/>
      <c r="I419" s="289"/>
      <c r="J419" s="286"/>
      <c r="K419" s="290"/>
      <c r="L419" s="290"/>
      <c r="M419" s="286"/>
      <c r="N419" s="291"/>
      <c r="O419" s="292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</row>
    <row r="420" ht="14.25" customHeight="1">
      <c r="A420" s="32"/>
      <c r="B420" s="286"/>
      <c r="C420" s="286"/>
      <c r="D420" s="288"/>
      <c r="E420" s="289"/>
      <c r="F420" s="289"/>
      <c r="G420" s="289"/>
      <c r="H420" s="289"/>
      <c r="I420" s="289"/>
      <c r="J420" s="286"/>
      <c r="K420" s="290"/>
      <c r="L420" s="290"/>
      <c r="M420" s="286"/>
      <c r="N420" s="291"/>
      <c r="O420" s="292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</row>
    <row r="421" ht="14.25" customHeight="1">
      <c r="A421" s="32"/>
      <c r="B421" s="286"/>
      <c r="C421" s="286"/>
      <c r="D421" s="288"/>
      <c r="E421" s="289"/>
      <c r="F421" s="289"/>
      <c r="G421" s="289"/>
      <c r="H421" s="289"/>
      <c r="I421" s="289"/>
      <c r="J421" s="286"/>
      <c r="K421" s="290"/>
      <c r="L421" s="290"/>
      <c r="M421" s="286"/>
      <c r="N421" s="291"/>
      <c r="O421" s="292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</row>
    <row r="422" ht="14.25" customHeight="1">
      <c r="A422" s="32"/>
      <c r="B422" s="286"/>
      <c r="C422" s="286"/>
      <c r="D422" s="288"/>
      <c r="E422" s="289"/>
      <c r="F422" s="289"/>
      <c r="G422" s="289"/>
      <c r="H422" s="289"/>
      <c r="I422" s="289"/>
      <c r="J422" s="286"/>
      <c r="K422" s="290"/>
      <c r="L422" s="290"/>
      <c r="M422" s="286"/>
      <c r="N422" s="291"/>
      <c r="O422" s="292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</row>
    <row r="423" ht="14.25" customHeight="1">
      <c r="A423" s="32"/>
      <c r="B423" s="286"/>
      <c r="C423" s="286"/>
      <c r="D423" s="288"/>
      <c r="E423" s="289"/>
      <c r="F423" s="289"/>
      <c r="G423" s="289"/>
      <c r="H423" s="289"/>
      <c r="I423" s="289"/>
      <c r="J423" s="286"/>
      <c r="K423" s="290"/>
      <c r="L423" s="290"/>
      <c r="M423" s="286"/>
      <c r="N423" s="291"/>
      <c r="O423" s="292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</row>
    <row r="424" ht="14.25" customHeight="1">
      <c r="A424" s="32"/>
      <c r="B424" s="286"/>
      <c r="C424" s="286"/>
      <c r="D424" s="288"/>
      <c r="E424" s="289"/>
      <c r="F424" s="289"/>
      <c r="G424" s="289"/>
      <c r="H424" s="289"/>
      <c r="I424" s="289"/>
      <c r="J424" s="286"/>
      <c r="K424" s="290"/>
      <c r="L424" s="290"/>
      <c r="M424" s="286"/>
      <c r="N424" s="291"/>
      <c r="O424" s="292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</row>
    <row r="425" ht="14.25" customHeight="1">
      <c r="A425" s="32"/>
      <c r="B425" s="286"/>
      <c r="C425" s="286"/>
      <c r="D425" s="288"/>
      <c r="E425" s="289"/>
      <c r="F425" s="289"/>
      <c r="G425" s="289"/>
      <c r="H425" s="289"/>
      <c r="I425" s="289"/>
      <c r="J425" s="286"/>
      <c r="K425" s="290"/>
      <c r="L425" s="290"/>
      <c r="M425" s="286"/>
      <c r="N425" s="291"/>
      <c r="O425" s="292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</row>
    <row r="426" ht="14.25" customHeight="1">
      <c r="A426" s="32"/>
      <c r="B426" s="286"/>
      <c r="C426" s="286"/>
      <c r="D426" s="288"/>
      <c r="E426" s="289"/>
      <c r="F426" s="289"/>
      <c r="G426" s="289"/>
      <c r="H426" s="289"/>
      <c r="I426" s="289"/>
      <c r="J426" s="286"/>
      <c r="K426" s="290"/>
      <c r="L426" s="290"/>
      <c r="M426" s="286"/>
      <c r="N426" s="291"/>
      <c r="O426" s="292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</row>
    <row r="427" ht="14.25" customHeight="1">
      <c r="A427" s="32"/>
      <c r="B427" s="286"/>
      <c r="C427" s="286"/>
      <c r="D427" s="288"/>
      <c r="E427" s="289"/>
      <c r="F427" s="289"/>
      <c r="G427" s="289"/>
      <c r="H427" s="289"/>
      <c r="I427" s="289"/>
      <c r="J427" s="286"/>
      <c r="K427" s="290"/>
      <c r="L427" s="290"/>
      <c r="M427" s="286"/>
      <c r="N427" s="291"/>
      <c r="O427" s="292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</row>
    <row r="428" ht="14.25" customHeight="1">
      <c r="A428" s="32"/>
      <c r="B428" s="286"/>
      <c r="C428" s="286"/>
      <c r="D428" s="288"/>
      <c r="E428" s="289"/>
      <c r="F428" s="289"/>
      <c r="G428" s="289"/>
      <c r="H428" s="289"/>
      <c r="I428" s="289"/>
      <c r="J428" s="286"/>
      <c r="K428" s="290"/>
      <c r="L428" s="290"/>
      <c r="M428" s="286"/>
      <c r="N428" s="291"/>
      <c r="O428" s="292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</row>
    <row r="429" ht="14.25" customHeight="1">
      <c r="A429" s="32"/>
      <c r="B429" s="286"/>
      <c r="C429" s="286"/>
      <c r="D429" s="288"/>
      <c r="E429" s="289"/>
      <c r="F429" s="289"/>
      <c r="G429" s="289"/>
      <c r="H429" s="289"/>
      <c r="I429" s="289"/>
      <c r="J429" s="286"/>
      <c r="K429" s="290"/>
      <c r="L429" s="290"/>
      <c r="M429" s="286"/>
      <c r="N429" s="291"/>
      <c r="O429" s="292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</row>
    <row r="430" ht="14.25" customHeight="1">
      <c r="A430" s="32"/>
      <c r="B430" s="286"/>
      <c r="C430" s="286"/>
      <c r="D430" s="288"/>
      <c r="E430" s="289"/>
      <c r="F430" s="289"/>
      <c r="G430" s="289"/>
      <c r="H430" s="289"/>
      <c r="I430" s="289"/>
      <c r="J430" s="286"/>
      <c r="K430" s="290"/>
      <c r="L430" s="290"/>
      <c r="M430" s="286"/>
      <c r="N430" s="291"/>
      <c r="O430" s="292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</row>
    <row r="431" ht="14.25" customHeight="1">
      <c r="A431" s="32"/>
      <c r="B431" s="286"/>
      <c r="C431" s="286"/>
      <c r="D431" s="288"/>
      <c r="E431" s="289"/>
      <c r="F431" s="289"/>
      <c r="G431" s="289"/>
      <c r="H431" s="289"/>
      <c r="I431" s="289"/>
      <c r="J431" s="286"/>
      <c r="K431" s="290"/>
      <c r="L431" s="290"/>
      <c r="M431" s="286"/>
      <c r="N431" s="291"/>
      <c r="O431" s="292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</row>
    <row r="432" ht="14.25" customHeight="1">
      <c r="A432" s="32"/>
      <c r="B432" s="286"/>
      <c r="C432" s="286"/>
      <c r="D432" s="288"/>
      <c r="E432" s="289"/>
      <c r="F432" s="289"/>
      <c r="G432" s="289"/>
      <c r="H432" s="289"/>
      <c r="I432" s="289"/>
      <c r="J432" s="286"/>
      <c r="K432" s="290"/>
      <c r="L432" s="290"/>
      <c r="M432" s="286"/>
      <c r="N432" s="291"/>
      <c r="O432" s="292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</row>
    <row r="433" ht="14.25" customHeight="1">
      <c r="A433" s="32"/>
      <c r="B433" s="286"/>
      <c r="C433" s="286"/>
      <c r="D433" s="288"/>
      <c r="E433" s="289"/>
      <c r="F433" s="289"/>
      <c r="G433" s="289"/>
      <c r="H433" s="289"/>
      <c r="I433" s="289"/>
      <c r="J433" s="286"/>
      <c r="K433" s="290"/>
      <c r="L433" s="290"/>
      <c r="M433" s="286"/>
      <c r="N433" s="291"/>
      <c r="O433" s="292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</row>
    <row r="434" ht="14.25" customHeight="1">
      <c r="A434" s="32"/>
      <c r="B434" s="286"/>
      <c r="C434" s="286"/>
      <c r="D434" s="288"/>
      <c r="E434" s="289"/>
      <c r="F434" s="289"/>
      <c r="G434" s="289"/>
      <c r="H434" s="289"/>
      <c r="I434" s="289"/>
      <c r="J434" s="286"/>
      <c r="K434" s="290"/>
      <c r="L434" s="290"/>
      <c r="M434" s="286"/>
      <c r="N434" s="291"/>
      <c r="O434" s="292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</row>
    <row r="435" ht="14.25" customHeight="1">
      <c r="A435" s="32"/>
      <c r="B435" s="286"/>
      <c r="C435" s="286"/>
      <c r="D435" s="288"/>
      <c r="E435" s="289"/>
      <c r="F435" s="289"/>
      <c r="G435" s="289"/>
      <c r="H435" s="289"/>
      <c r="I435" s="289"/>
      <c r="J435" s="286"/>
      <c r="K435" s="290"/>
      <c r="L435" s="290"/>
      <c r="M435" s="286"/>
      <c r="N435" s="291"/>
      <c r="O435" s="292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</row>
    <row r="436" ht="14.25" customHeight="1">
      <c r="A436" s="32"/>
      <c r="B436" s="286"/>
      <c r="C436" s="286"/>
      <c r="D436" s="288"/>
      <c r="E436" s="289"/>
      <c r="F436" s="289"/>
      <c r="G436" s="289"/>
      <c r="H436" s="289"/>
      <c r="I436" s="289"/>
      <c r="J436" s="286"/>
      <c r="K436" s="290"/>
      <c r="L436" s="290"/>
      <c r="M436" s="286"/>
      <c r="N436" s="291"/>
      <c r="O436" s="292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</row>
    <row r="437" ht="14.25" customHeight="1">
      <c r="A437" s="32"/>
      <c r="B437" s="286"/>
      <c r="C437" s="286"/>
      <c r="D437" s="288"/>
      <c r="E437" s="289"/>
      <c r="F437" s="289"/>
      <c r="G437" s="289"/>
      <c r="H437" s="289"/>
      <c r="I437" s="289"/>
      <c r="J437" s="286"/>
      <c r="K437" s="290"/>
      <c r="L437" s="290"/>
      <c r="M437" s="286"/>
      <c r="N437" s="291"/>
      <c r="O437" s="292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</row>
    <row r="438" ht="14.25" customHeight="1">
      <c r="A438" s="32"/>
      <c r="B438" s="286"/>
      <c r="C438" s="286"/>
      <c r="D438" s="288"/>
      <c r="E438" s="289"/>
      <c r="F438" s="289"/>
      <c r="G438" s="289"/>
      <c r="H438" s="289"/>
      <c r="I438" s="289"/>
      <c r="J438" s="286"/>
      <c r="K438" s="290"/>
      <c r="L438" s="290"/>
      <c r="M438" s="286"/>
      <c r="N438" s="291"/>
      <c r="O438" s="292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</row>
    <row r="439" ht="14.25" customHeight="1">
      <c r="A439" s="32"/>
      <c r="B439" s="286"/>
      <c r="C439" s="286"/>
      <c r="D439" s="288"/>
      <c r="E439" s="289"/>
      <c r="F439" s="289"/>
      <c r="G439" s="289"/>
      <c r="H439" s="289"/>
      <c r="I439" s="289"/>
      <c r="J439" s="286"/>
      <c r="K439" s="290"/>
      <c r="L439" s="290"/>
      <c r="M439" s="286"/>
      <c r="N439" s="291"/>
      <c r="O439" s="292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</row>
    <row r="440" ht="14.25" customHeight="1">
      <c r="A440" s="32"/>
      <c r="B440" s="286"/>
      <c r="C440" s="286"/>
      <c r="D440" s="288"/>
      <c r="E440" s="289"/>
      <c r="F440" s="289"/>
      <c r="G440" s="289"/>
      <c r="H440" s="289"/>
      <c r="I440" s="289"/>
      <c r="J440" s="286"/>
      <c r="K440" s="290"/>
      <c r="L440" s="290"/>
      <c r="M440" s="286"/>
      <c r="N440" s="291"/>
      <c r="O440" s="292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</row>
    <row r="441" ht="14.25" customHeight="1">
      <c r="A441" s="32"/>
      <c r="B441" s="286"/>
      <c r="C441" s="286"/>
      <c r="D441" s="288"/>
      <c r="E441" s="289"/>
      <c r="F441" s="289"/>
      <c r="G441" s="289"/>
      <c r="H441" s="289"/>
      <c r="I441" s="289"/>
      <c r="J441" s="286"/>
      <c r="K441" s="290"/>
      <c r="L441" s="290"/>
      <c r="M441" s="286"/>
      <c r="N441" s="291"/>
      <c r="O441" s="292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</row>
    <row r="442" ht="14.25" customHeight="1">
      <c r="A442" s="32"/>
      <c r="B442" s="286"/>
      <c r="C442" s="286"/>
      <c r="D442" s="288"/>
      <c r="E442" s="289"/>
      <c r="F442" s="289"/>
      <c r="G442" s="289"/>
      <c r="H442" s="289"/>
      <c r="I442" s="289"/>
      <c r="J442" s="286"/>
      <c r="K442" s="290"/>
      <c r="L442" s="290"/>
      <c r="M442" s="286"/>
      <c r="N442" s="291"/>
      <c r="O442" s="292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</row>
    <row r="443" ht="14.25" customHeight="1">
      <c r="A443" s="32"/>
      <c r="B443" s="286"/>
      <c r="C443" s="286"/>
      <c r="D443" s="288"/>
      <c r="E443" s="289"/>
      <c r="F443" s="289"/>
      <c r="G443" s="289"/>
      <c r="H443" s="289"/>
      <c r="I443" s="289"/>
      <c r="J443" s="286"/>
      <c r="K443" s="290"/>
      <c r="L443" s="290"/>
      <c r="M443" s="286"/>
      <c r="N443" s="291"/>
      <c r="O443" s="292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</row>
    <row r="444" ht="14.25" customHeight="1">
      <c r="A444" s="32"/>
      <c r="B444" s="286"/>
      <c r="C444" s="286"/>
      <c r="D444" s="288"/>
      <c r="E444" s="289"/>
      <c r="F444" s="289"/>
      <c r="G444" s="289"/>
      <c r="H444" s="289"/>
      <c r="I444" s="289"/>
      <c r="J444" s="286"/>
      <c r="K444" s="290"/>
      <c r="L444" s="290"/>
      <c r="M444" s="286"/>
      <c r="N444" s="291"/>
      <c r="O444" s="292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</row>
    <row r="445" ht="14.25" customHeight="1">
      <c r="A445" s="32"/>
      <c r="B445" s="286"/>
      <c r="C445" s="286"/>
      <c r="D445" s="288"/>
      <c r="E445" s="289"/>
      <c r="F445" s="289"/>
      <c r="G445" s="289"/>
      <c r="H445" s="289"/>
      <c r="I445" s="289"/>
      <c r="J445" s="286"/>
      <c r="K445" s="290"/>
      <c r="L445" s="290"/>
      <c r="M445" s="286"/>
      <c r="N445" s="291"/>
      <c r="O445" s="292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</row>
    <row r="446" ht="14.25" customHeight="1">
      <c r="A446" s="32"/>
      <c r="B446" s="286"/>
      <c r="C446" s="286"/>
      <c r="D446" s="288"/>
      <c r="E446" s="289"/>
      <c r="F446" s="289"/>
      <c r="G446" s="289"/>
      <c r="H446" s="289"/>
      <c r="I446" s="289"/>
      <c r="J446" s="286"/>
      <c r="K446" s="290"/>
      <c r="L446" s="290"/>
      <c r="M446" s="286"/>
      <c r="N446" s="291"/>
      <c r="O446" s="292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</row>
    <row r="447" ht="14.25" customHeight="1">
      <c r="A447" s="32"/>
      <c r="B447" s="286"/>
      <c r="C447" s="286"/>
      <c r="D447" s="288"/>
      <c r="E447" s="289"/>
      <c r="F447" s="289"/>
      <c r="G447" s="289"/>
      <c r="H447" s="289"/>
      <c r="I447" s="289"/>
      <c r="J447" s="286"/>
      <c r="K447" s="290"/>
      <c r="L447" s="290"/>
      <c r="M447" s="286"/>
      <c r="N447" s="291"/>
      <c r="O447" s="292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</row>
    <row r="448" ht="14.25" customHeight="1">
      <c r="A448" s="32"/>
      <c r="B448" s="286"/>
      <c r="C448" s="286"/>
      <c r="D448" s="288"/>
      <c r="E448" s="289"/>
      <c r="F448" s="289"/>
      <c r="G448" s="289"/>
      <c r="H448" s="289"/>
      <c r="I448" s="289"/>
      <c r="J448" s="286"/>
      <c r="K448" s="290"/>
      <c r="L448" s="290"/>
      <c r="M448" s="286"/>
      <c r="N448" s="291"/>
      <c r="O448" s="292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</row>
    <row r="449" ht="14.25" customHeight="1">
      <c r="A449" s="32"/>
      <c r="B449" s="286"/>
      <c r="C449" s="286"/>
      <c r="D449" s="288"/>
      <c r="E449" s="289"/>
      <c r="F449" s="289"/>
      <c r="G449" s="289"/>
      <c r="H449" s="289"/>
      <c r="I449" s="289"/>
      <c r="J449" s="286"/>
      <c r="K449" s="290"/>
      <c r="L449" s="290"/>
      <c r="M449" s="286"/>
      <c r="N449" s="291"/>
      <c r="O449" s="292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</row>
    <row r="450" ht="14.25" customHeight="1">
      <c r="A450" s="32"/>
      <c r="B450" s="286"/>
      <c r="C450" s="286"/>
      <c r="D450" s="288"/>
      <c r="E450" s="289"/>
      <c r="F450" s="289"/>
      <c r="G450" s="289"/>
      <c r="H450" s="289"/>
      <c r="I450" s="289"/>
      <c r="J450" s="286"/>
      <c r="K450" s="290"/>
      <c r="L450" s="290"/>
      <c r="M450" s="286"/>
      <c r="N450" s="291"/>
      <c r="O450" s="292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</row>
    <row r="451" ht="14.25" customHeight="1">
      <c r="A451" s="32"/>
      <c r="B451" s="286"/>
      <c r="C451" s="286"/>
      <c r="D451" s="288"/>
      <c r="E451" s="289"/>
      <c r="F451" s="289"/>
      <c r="G451" s="289"/>
      <c r="H451" s="289"/>
      <c r="I451" s="289"/>
      <c r="J451" s="286"/>
      <c r="K451" s="290"/>
      <c r="L451" s="290"/>
      <c r="M451" s="286"/>
      <c r="N451" s="291"/>
      <c r="O451" s="292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</row>
    <row r="452" ht="14.25" customHeight="1">
      <c r="A452" s="32"/>
      <c r="B452" s="286"/>
      <c r="C452" s="286"/>
      <c r="D452" s="288"/>
      <c r="E452" s="289"/>
      <c r="F452" s="289"/>
      <c r="G452" s="289"/>
      <c r="H452" s="289"/>
      <c r="I452" s="289"/>
      <c r="J452" s="286"/>
      <c r="K452" s="290"/>
      <c r="L452" s="290"/>
      <c r="M452" s="286"/>
      <c r="N452" s="291"/>
      <c r="O452" s="292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</row>
    <row r="453" ht="14.25" customHeight="1">
      <c r="A453" s="32"/>
      <c r="B453" s="286"/>
      <c r="C453" s="286"/>
      <c r="D453" s="288"/>
      <c r="E453" s="289"/>
      <c r="F453" s="289"/>
      <c r="G453" s="289"/>
      <c r="H453" s="289"/>
      <c r="I453" s="289"/>
      <c r="J453" s="286"/>
      <c r="K453" s="290"/>
      <c r="L453" s="290"/>
      <c r="M453" s="286"/>
      <c r="N453" s="291"/>
      <c r="O453" s="292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</row>
    <row r="454" ht="14.25" customHeight="1">
      <c r="A454" s="32"/>
      <c r="B454" s="286"/>
      <c r="C454" s="286"/>
      <c r="D454" s="288"/>
      <c r="E454" s="289"/>
      <c r="F454" s="289"/>
      <c r="G454" s="289"/>
      <c r="H454" s="289"/>
      <c r="I454" s="289"/>
      <c r="J454" s="286"/>
      <c r="K454" s="290"/>
      <c r="L454" s="290"/>
      <c r="M454" s="286"/>
      <c r="N454" s="291"/>
      <c r="O454" s="292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</row>
    <row r="455" ht="14.25" customHeight="1">
      <c r="A455" s="32"/>
      <c r="B455" s="286"/>
      <c r="C455" s="286"/>
      <c r="D455" s="288"/>
      <c r="E455" s="289"/>
      <c r="F455" s="289"/>
      <c r="G455" s="289"/>
      <c r="H455" s="289"/>
      <c r="I455" s="289"/>
      <c r="J455" s="286"/>
      <c r="K455" s="290"/>
      <c r="L455" s="290"/>
      <c r="M455" s="286"/>
      <c r="N455" s="291"/>
      <c r="O455" s="292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</row>
    <row r="456" ht="14.25" customHeight="1">
      <c r="A456" s="32"/>
      <c r="B456" s="286"/>
      <c r="C456" s="286"/>
      <c r="D456" s="288"/>
      <c r="E456" s="289"/>
      <c r="F456" s="289"/>
      <c r="G456" s="289"/>
      <c r="H456" s="289"/>
      <c r="I456" s="289"/>
      <c r="J456" s="286"/>
      <c r="K456" s="290"/>
      <c r="L456" s="290"/>
      <c r="M456" s="286"/>
      <c r="N456" s="291"/>
      <c r="O456" s="292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</row>
    <row r="457" ht="14.25" customHeight="1">
      <c r="A457" s="32"/>
      <c r="B457" s="286"/>
      <c r="C457" s="286"/>
      <c r="D457" s="288"/>
      <c r="E457" s="289"/>
      <c r="F457" s="289"/>
      <c r="G457" s="289"/>
      <c r="H457" s="289"/>
      <c r="I457" s="289"/>
      <c r="J457" s="286"/>
      <c r="K457" s="290"/>
      <c r="L457" s="290"/>
      <c r="M457" s="286"/>
      <c r="N457" s="291"/>
      <c r="O457" s="292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</row>
    <row r="458" ht="14.25" customHeight="1">
      <c r="A458" s="32"/>
      <c r="B458" s="286"/>
      <c r="C458" s="286"/>
      <c r="D458" s="288"/>
      <c r="E458" s="289"/>
      <c r="F458" s="289"/>
      <c r="G458" s="289"/>
      <c r="H458" s="289"/>
      <c r="I458" s="289"/>
      <c r="J458" s="286"/>
      <c r="K458" s="290"/>
      <c r="L458" s="290"/>
      <c r="M458" s="286"/>
      <c r="N458" s="291"/>
      <c r="O458" s="292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</row>
    <row r="459" ht="14.25" customHeight="1">
      <c r="A459" s="32"/>
      <c r="B459" s="286"/>
      <c r="C459" s="286"/>
      <c r="D459" s="288"/>
      <c r="E459" s="289"/>
      <c r="F459" s="289"/>
      <c r="G459" s="289"/>
      <c r="H459" s="289"/>
      <c r="I459" s="289"/>
      <c r="J459" s="286"/>
      <c r="K459" s="290"/>
      <c r="L459" s="290"/>
      <c r="M459" s="286"/>
      <c r="N459" s="291"/>
      <c r="O459" s="292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</row>
    <row r="460" ht="14.25" customHeight="1">
      <c r="A460" s="32"/>
      <c r="B460" s="286"/>
      <c r="C460" s="286"/>
      <c r="D460" s="288"/>
      <c r="E460" s="289"/>
      <c r="F460" s="289"/>
      <c r="G460" s="289"/>
      <c r="H460" s="289"/>
      <c r="I460" s="289"/>
      <c r="J460" s="286"/>
      <c r="K460" s="290"/>
      <c r="L460" s="290"/>
      <c r="M460" s="286"/>
      <c r="N460" s="291"/>
      <c r="O460" s="292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</row>
    <row r="461" ht="14.25" customHeight="1">
      <c r="A461" s="32"/>
      <c r="B461" s="286"/>
      <c r="C461" s="286"/>
      <c r="D461" s="288"/>
      <c r="E461" s="289"/>
      <c r="F461" s="289"/>
      <c r="G461" s="289"/>
      <c r="H461" s="289"/>
      <c r="I461" s="289"/>
      <c r="J461" s="286"/>
      <c r="K461" s="290"/>
      <c r="L461" s="290"/>
      <c r="M461" s="286"/>
      <c r="N461" s="291"/>
      <c r="O461" s="292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</row>
    <row r="462" ht="14.25" customHeight="1">
      <c r="A462" s="32"/>
      <c r="B462" s="286"/>
      <c r="C462" s="286"/>
      <c r="D462" s="288"/>
      <c r="E462" s="289"/>
      <c r="F462" s="289"/>
      <c r="G462" s="289"/>
      <c r="H462" s="289"/>
      <c r="I462" s="289"/>
      <c r="J462" s="286"/>
      <c r="K462" s="290"/>
      <c r="L462" s="290"/>
      <c r="M462" s="286"/>
      <c r="N462" s="291"/>
      <c r="O462" s="292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</row>
    <row r="463" ht="14.25" customHeight="1">
      <c r="A463" s="32"/>
      <c r="B463" s="286"/>
      <c r="C463" s="286"/>
      <c r="D463" s="288"/>
      <c r="E463" s="289"/>
      <c r="F463" s="289"/>
      <c r="G463" s="289"/>
      <c r="H463" s="289"/>
      <c r="I463" s="289"/>
      <c r="J463" s="286"/>
      <c r="K463" s="290"/>
      <c r="L463" s="290"/>
      <c r="M463" s="286"/>
      <c r="N463" s="291"/>
      <c r="O463" s="292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</row>
    <row r="464" ht="14.25" customHeight="1">
      <c r="A464" s="32"/>
      <c r="B464" s="286"/>
      <c r="C464" s="286"/>
      <c r="D464" s="288"/>
      <c r="E464" s="289"/>
      <c r="F464" s="289"/>
      <c r="G464" s="289"/>
      <c r="H464" s="289"/>
      <c r="I464" s="289"/>
      <c r="J464" s="286"/>
      <c r="K464" s="290"/>
      <c r="L464" s="290"/>
      <c r="M464" s="286"/>
      <c r="N464" s="291"/>
      <c r="O464" s="292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</row>
    <row r="465" ht="14.25" customHeight="1">
      <c r="A465" s="32"/>
      <c r="B465" s="286"/>
      <c r="C465" s="286"/>
      <c r="D465" s="288"/>
      <c r="E465" s="289"/>
      <c r="F465" s="289"/>
      <c r="G465" s="289"/>
      <c r="H465" s="289"/>
      <c r="I465" s="289"/>
      <c r="J465" s="286"/>
      <c r="K465" s="290"/>
      <c r="L465" s="290"/>
      <c r="M465" s="286"/>
      <c r="N465" s="291"/>
      <c r="O465" s="292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</row>
    <row r="466" ht="14.25" customHeight="1">
      <c r="A466" s="32"/>
      <c r="B466" s="286"/>
      <c r="C466" s="286"/>
      <c r="D466" s="288"/>
      <c r="E466" s="289"/>
      <c r="F466" s="289"/>
      <c r="G466" s="289"/>
      <c r="H466" s="289"/>
      <c r="I466" s="289"/>
      <c r="J466" s="286"/>
      <c r="K466" s="290"/>
      <c r="L466" s="290"/>
      <c r="M466" s="286"/>
      <c r="N466" s="291"/>
      <c r="O466" s="292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</row>
    <row r="467" ht="14.25" customHeight="1">
      <c r="A467" s="32"/>
      <c r="B467" s="286"/>
      <c r="C467" s="286"/>
      <c r="D467" s="288"/>
      <c r="E467" s="289"/>
      <c r="F467" s="289"/>
      <c r="G467" s="289"/>
      <c r="H467" s="289"/>
      <c r="I467" s="289"/>
      <c r="J467" s="286"/>
      <c r="K467" s="290"/>
      <c r="L467" s="290"/>
      <c r="M467" s="286"/>
      <c r="N467" s="291"/>
      <c r="O467" s="292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</row>
    <row r="468" ht="14.25" customHeight="1">
      <c r="A468" s="32"/>
      <c r="B468" s="286"/>
      <c r="C468" s="286"/>
      <c r="D468" s="288"/>
      <c r="E468" s="289"/>
      <c r="F468" s="289"/>
      <c r="G468" s="289"/>
      <c r="H468" s="289"/>
      <c r="I468" s="289"/>
      <c r="J468" s="286"/>
      <c r="K468" s="290"/>
      <c r="L468" s="290"/>
      <c r="M468" s="286"/>
      <c r="N468" s="291"/>
      <c r="O468" s="292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</row>
    <row r="469" ht="14.25" customHeight="1">
      <c r="A469" s="32"/>
      <c r="B469" s="286"/>
      <c r="C469" s="286"/>
      <c r="D469" s="288"/>
      <c r="E469" s="289"/>
      <c r="F469" s="289"/>
      <c r="G469" s="289"/>
      <c r="H469" s="289"/>
      <c r="I469" s="289"/>
      <c r="J469" s="286"/>
      <c r="K469" s="290"/>
      <c r="L469" s="290"/>
      <c r="M469" s="286"/>
      <c r="N469" s="291"/>
      <c r="O469" s="292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</row>
    <row r="470" ht="14.25" customHeight="1">
      <c r="A470" s="32"/>
      <c r="B470" s="286"/>
      <c r="C470" s="286"/>
      <c r="D470" s="288"/>
      <c r="E470" s="289"/>
      <c r="F470" s="289"/>
      <c r="G470" s="289"/>
      <c r="H470" s="289"/>
      <c r="I470" s="289"/>
      <c r="J470" s="286"/>
      <c r="K470" s="290"/>
      <c r="L470" s="290"/>
      <c r="M470" s="286"/>
      <c r="N470" s="291"/>
      <c r="O470" s="292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</row>
    <row r="471" ht="14.25" customHeight="1">
      <c r="A471" s="32"/>
      <c r="B471" s="286"/>
      <c r="C471" s="286"/>
      <c r="D471" s="288"/>
      <c r="E471" s="289"/>
      <c r="F471" s="289"/>
      <c r="G471" s="289"/>
      <c r="H471" s="289"/>
      <c r="I471" s="289"/>
      <c r="J471" s="286"/>
      <c r="K471" s="290"/>
      <c r="L471" s="290"/>
      <c r="M471" s="286"/>
      <c r="N471" s="291"/>
      <c r="O471" s="292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</row>
    <row r="472" ht="14.25" customHeight="1">
      <c r="A472" s="32"/>
      <c r="B472" s="286"/>
      <c r="C472" s="286"/>
      <c r="D472" s="288"/>
      <c r="E472" s="289"/>
      <c r="F472" s="289"/>
      <c r="G472" s="289"/>
      <c r="H472" s="289"/>
      <c r="I472" s="289"/>
      <c r="J472" s="286"/>
      <c r="K472" s="290"/>
      <c r="L472" s="290"/>
      <c r="M472" s="286"/>
      <c r="N472" s="291"/>
      <c r="O472" s="292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</row>
    <row r="473" ht="14.25" customHeight="1">
      <c r="A473" s="32"/>
      <c r="B473" s="286"/>
      <c r="C473" s="286"/>
      <c r="D473" s="288"/>
      <c r="E473" s="289"/>
      <c r="F473" s="289"/>
      <c r="G473" s="289"/>
      <c r="H473" s="289"/>
      <c r="I473" s="289"/>
      <c r="J473" s="286"/>
      <c r="K473" s="290"/>
      <c r="L473" s="290"/>
      <c r="M473" s="286"/>
      <c r="N473" s="291"/>
      <c r="O473" s="292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</row>
    <row r="474" ht="14.25" customHeight="1">
      <c r="A474" s="32"/>
      <c r="B474" s="286"/>
      <c r="C474" s="286"/>
      <c r="D474" s="288"/>
      <c r="E474" s="289"/>
      <c r="F474" s="289"/>
      <c r="G474" s="289"/>
      <c r="H474" s="289"/>
      <c r="I474" s="289"/>
      <c r="J474" s="286"/>
      <c r="K474" s="290"/>
      <c r="L474" s="290"/>
      <c r="M474" s="286"/>
      <c r="N474" s="291"/>
      <c r="O474" s="292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</row>
    <row r="475" ht="14.25" customHeight="1">
      <c r="A475" s="32"/>
      <c r="B475" s="286"/>
      <c r="C475" s="286"/>
      <c r="D475" s="288"/>
      <c r="E475" s="289"/>
      <c r="F475" s="289"/>
      <c r="G475" s="289"/>
      <c r="H475" s="289"/>
      <c r="I475" s="289"/>
      <c r="J475" s="286"/>
      <c r="K475" s="290"/>
      <c r="L475" s="290"/>
      <c r="M475" s="286"/>
      <c r="N475" s="291"/>
      <c r="O475" s="292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</row>
    <row r="476" ht="14.25" customHeight="1">
      <c r="A476" s="32"/>
      <c r="B476" s="286"/>
      <c r="C476" s="286"/>
      <c r="D476" s="288"/>
      <c r="E476" s="289"/>
      <c r="F476" s="289"/>
      <c r="G476" s="289"/>
      <c r="H476" s="289"/>
      <c r="I476" s="289"/>
      <c r="J476" s="286"/>
      <c r="K476" s="290"/>
      <c r="L476" s="290"/>
      <c r="M476" s="286"/>
      <c r="N476" s="291"/>
      <c r="O476" s="292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</row>
    <row r="477" ht="14.25" customHeight="1">
      <c r="A477" s="32"/>
      <c r="B477" s="286"/>
      <c r="C477" s="286"/>
      <c r="D477" s="288"/>
      <c r="E477" s="289"/>
      <c r="F477" s="289"/>
      <c r="G477" s="289"/>
      <c r="H477" s="289"/>
      <c r="I477" s="289"/>
      <c r="J477" s="286"/>
      <c r="K477" s="290"/>
      <c r="L477" s="290"/>
      <c r="M477" s="286"/>
      <c r="N477" s="291"/>
      <c r="O477" s="292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</row>
    <row r="478" ht="14.25" customHeight="1">
      <c r="A478" s="32"/>
      <c r="B478" s="286"/>
      <c r="C478" s="286"/>
      <c r="D478" s="288"/>
      <c r="E478" s="289"/>
      <c r="F478" s="289"/>
      <c r="G478" s="289"/>
      <c r="H478" s="289"/>
      <c r="I478" s="289"/>
      <c r="J478" s="286"/>
      <c r="K478" s="290"/>
      <c r="L478" s="290"/>
      <c r="M478" s="286"/>
      <c r="N478" s="291"/>
      <c r="O478" s="292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</row>
    <row r="479" ht="14.25" customHeight="1">
      <c r="A479" s="32"/>
      <c r="B479" s="286"/>
      <c r="C479" s="286"/>
      <c r="D479" s="288"/>
      <c r="E479" s="289"/>
      <c r="F479" s="289"/>
      <c r="G479" s="289"/>
      <c r="H479" s="289"/>
      <c r="I479" s="289"/>
      <c r="J479" s="286"/>
      <c r="K479" s="290"/>
      <c r="L479" s="290"/>
      <c r="M479" s="286"/>
      <c r="N479" s="291"/>
      <c r="O479" s="292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</row>
    <row r="480" ht="14.25" customHeight="1">
      <c r="A480" s="32"/>
      <c r="B480" s="286"/>
      <c r="C480" s="286"/>
      <c r="D480" s="288"/>
      <c r="E480" s="289"/>
      <c r="F480" s="289"/>
      <c r="G480" s="289"/>
      <c r="H480" s="289"/>
      <c r="I480" s="289"/>
      <c r="J480" s="286"/>
      <c r="K480" s="290"/>
      <c r="L480" s="290"/>
      <c r="M480" s="286"/>
      <c r="N480" s="291"/>
      <c r="O480" s="292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</row>
    <row r="481" ht="14.25" customHeight="1">
      <c r="A481" s="32"/>
      <c r="B481" s="286"/>
      <c r="C481" s="286"/>
      <c r="D481" s="288"/>
      <c r="E481" s="289"/>
      <c r="F481" s="289"/>
      <c r="G481" s="289"/>
      <c r="H481" s="289"/>
      <c r="I481" s="289"/>
      <c r="J481" s="286"/>
      <c r="K481" s="290"/>
      <c r="L481" s="290"/>
      <c r="M481" s="286"/>
      <c r="N481" s="291"/>
      <c r="O481" s="292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</row>
    <row r="482" ht="14.25" customHeight="1">
      <c r="A482" s="32"/>
      <c r="B482" s="286"/>
      <c r="C482" s="286"/>
      <c r="D482" s="288"/>
      <c r="E482" s="289"/>
      <c r="F482" s="289"/>
      <c r="G482" s="289"/>
      <c r="H482" s="289"/>
      <c r="I482" s="289"/>
      <c r="J482" s="286"/>
      <c r="K482" s="290"/>
      <c r="L482" s="290"/>
      <c r="M482" s="286"/>
      <c r="N482" s="291"/>
      <c r="O482" s="292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</row>
    <row r="483" ht="14.25" customHeight="1">
      <c r="A483" s="32"/>
      <c r="B483" s="286"/>
      <c r="C483" s="286"/>
      <c r="D483" s="288"/>
      <c r="E483" s="289"/>
      <c r="F483" s="289"/>
      <c r="G483" s="289"/>
      <c r="H483" s="289"/>
      <c r="I483" s="289"/>
      <c r="J483" s="286"/>
      <c r="K483" s="290"/>
      <c r="L483" s="290"/>
      <c r="M483" s="286"/>
      <c r="N483" s="291"/>
      <c r="O483" s="292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</row>
    <row r="484" ht="14.25" customHeight="1">
      <c r="A484" s="32"/>
      <c r="B484" s="286"/>
      <c r="C484" s="286"/>
      <c r="D484" s="288"/>
      <c r="E484" s="289"/>
      <c r="F484" s="289"/>
      <c r="G484" s="289"/>
      <c r="H484" s="289"/>
      <c r="I484" s="289"/>
      <c r="J484" s="286"/>
      <c r="K484" s="290"/>
      <c r="L484" s="290"/>
      <c r="M484" s="286"/>
      <c r="N484" s="291"/>
      <c r="O484" s="292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</row>
    <row r="485" ht="14.25" customHeight="1">
      <c r="A485" s="32"/>
      <c r="B485" s="286"/>
      <c r="C485" s="286"/>
      <c r="D485" s="288"/>
      <c r="E485" s="289"/>
      <c r="F485" s="289"/>
      <c r="G485" s="289"/>
      <c r="H485" s="289"/>
      <c r="I485" s="289"/>
      <c r="J485" s="286"/>
      <c r="K485" s="290"/>
      <c r="L485" s="290"/>
      <c r="M485" s="286"/>
      <c r="N485" s="291"/>
      <c r="O485" s="292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</row>
    <row r="486" ht="14.25" customHeight="1">
      <c r="A486" s="32"/>
      <c r="B486" s="286"/>
      <c r="C486" s="286"/>
      <c r="D486" s="288"/>
      <c r="E486" s="289"/>
      <c r="F486" s="289"/>
      <c r="G486" s="289"/>
      <c r="H486" s="289"/>
      <c r="I486" s="289"/>
      <c r="J486" s="286"/>
      <c r="K486" s="290"/>
      <c r="L486" s="290"/>
      <c r="M486" s="286"/>
      <c r="N486" s="291"/>
      <c r="O486" s="292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</row>
    <row r="487" ht="14.25" customHeight="1">
      <c r="A487" s="32"/>
      <c r="B487" s="286"/>
      <c r="C487" s="286"/>
      <c r="D487" s="288"/>
      <c r="E487" s="289"/>
      <c r="F487" s="289"/>
      <c r="G487" s="289"/>
      <c r="H487" s="289"/>
      <c r="I487" s="289"/>
      <c r="J487" s="286"/>
      <c r="K487" s="290"/>
      <c r="L487" s="290"/>
      <c r="M487" s="286"/>
      <c r="N487" s="291"/>
      <c r="O487" s="292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</row>
    <row r="488" ht="14.25" customHeight="1">
      <c r="A488" s="32"/>
      <c r="B488" s="286"/>
      <c r="C488" s="286"/>
      <c r="D488" s="288"/>
      <c r="E488" s="289"/>
      <c r="F488" s="289"/>
      <c r="G488" s="289"/>
      <c r="H488" s="289"/>
      <c r="I488" s="289"/>
      <c r="J488" s="286"/>
      <c r="K488" s="290"/>
      <c r="L488" s="290"/>
      <c r="M488" s="286"/>
      <c r="N488" s="291"/>
      <c r="O488" s="292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</row>
    <row r="489" ht="14.25" customHeight="1">
      <c r="A489" s="32"/>
      <c r="B489" s="286"/>
      <c r="C489" s="286"/>
      <c r="D489" s="288"/>
      <c r="E489" s="289"/>
      <c r="F489" s="289"/>
      <c r="G489" s="289"/>
      <c r="H489" s="289"/>
      <c r="I489" s="289"/>
      <c r="J489" s="286"/>
      <c r="K489" s="290"/>
      <c r="L489" s="290"/>
      <c r="M489" s="286"/>
      <c r="N489" s="291"/>
      <c r="O489" s="292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</row>
    <row r="490" ht="14.25" customHeight="1">
      <c r="A490" s="32"/>
      <c r="B490" s="286"/>
      <c r="C490" s="286"/>
      <c r="D490" s="288"/>
      <c r="E490" s="289"/>
      <c r="F490" s="289"/>
      <c r="G490" s="289"/>
      <c r="H490" s="289"/>
      <c r="I490" s="289"/>
      <c r="J490" s="286"/>
      <c r="K490" s="290"/>
      <c r="L490" s="290"/>
      <c r="M490" s="286"/>
      <c r="N490" s="291"/>
      <c r="O490" s="292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</row>
    <row r="491" ht="14.25" customHeight="1">
      <c r="A491" s="32"/>
      <c r="B491" s="286"/>
      <c r="C491" s="286"/>
      <c r="D491" s="288"/>
      <c r="E491" s="289"/>
      <c r="F491" s="289"/>
      <c r="G491" s="289"/>
      <c r="H491" s="289"/>
      <c r="I491" s="289"/>
      <c r="J491" s="286"/>
      <c r="K491" s="290"/>
      <c r="L491" s="290"/>
      <c r="M491" s="286"/>
      <c r="N491" s="291"/>
      <c r="O491" s="292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</row>
    <row r="492" ht="14.25" customHeight="1">
      <c r="A492" s="32"/>
      <c r="B492" s="286"/>
      <c r="C492" s="286"/>
      <c r="D492" s="288"/>
      <c r="E492" s="289"/>
      <c r="F492" s="289"/>
      <c r="G492" s="289"/>
      <c r="H492" s="289"/>
      <c r="I492" s="289"/>
      <c r="J492" s="286"/>
      <c r="K492" s="290"/>
      <c r="L492" s="290"/>
      <c r="M492" s="286"/>
      <c r="N492" s="291"/>
      <c r="O492" s="292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</row>
    <row r="493" ht="14.25" customHeight="1">
      <c r="A493" s="32"/>
      <c r="B493" s="286"/>
      <c r="C493" s="286"/>
      <c r="D493" s="288"/>
      <c r="E493" s="289"/>
      <c r="F493" s="289"/>
      <c r="G493" s="289"/>
      <c r="H493" s="289"/>
      <c r="I493" s="289"/>
      <c r="J493" s="286"/>
      <c r="K493" s="290"/>
      <c r="L493" s="290"/>
      <c r="M493" s="286"/>
      <c r="N493" s="291"/>
      <c r="O493" s="292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</row>
    <row r="494" ht="14.25" customHeight="1">
      <c r="A494" s="32"/>
      <c r="B494" s="286"/>
      <c r="C494" s="286"/>
      <c r="D494" s="288"/>
      <c r="E494" s="289"/>
      <c r="F494" s="289"/>
      <c r="G494" s="289"/>
      <c r="H494" s="289"/>
      <c r="I494" s="289"/>
      <c r="J494" s="286"/>
      <c r="K494" s="290"/>
      <c r="L494" s="290"/>
      <c r="M494" s="286"/>
      <c r="N494" s="291"/>
      <c r="O494" s="292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</row>
    <row r="495" ht="14.25" customHeight="1">
      <c r="A495" s="32"/>
      <c r="B495" s="286"/>
      <c r="C495" s="286"/>
      <c r="D495" s="288"/>
      <c r="E495" s="289"/>
      <c r="F495" s="289"/>
      <c r="G495" s="289"/>
      <c r="H495" s="289"/>
      <c r="I495" s="289"/>
      <c r="J495" s="286"/>
      <c r="K495" s="290"/>
      <c r="L495" s="290"/>
      <c r="M495" s="286"/>
      <c r="N495" s="291"/>
      <c r="O495" s="292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</row>
    <row r="496" ht="14.25" customHeight="1">
      <c r="A496" s="32"/>
      <c r="B496" s="286"/>
      <c r="C496" s="286"/>
      <c r="D496" s="288"/>
      <c r="E496" s="289"/>
      <c r="F496" s="289"/>
      <c r="G496" s="289"/>
      <c r="H496" s="289"/>
      <c r="I496" s="289"/>
      <c r="J496" s="286"/>
      <c r="K496" s="290"/>
      <c r="L496" s="290"/>
      <c r="M496" s="286"/>
      <c r="N496" s="291"/>
      <c r="O496" s="292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</row>
    <row r="497" ht="14.25" customHeight="1">
      <c r="A497" s="32"/>
      <c r="B497" s="286"/>
      <c r="C497" s="286"/>
      <c r="D497" s="288"/>
      <c r="E497" s="289"/>
      <c r="F497" s="289"/>
      <c r="G497" s="289"/>
      <c r="H497" s="289"/>
      <c r="I497" s="289"/>
      <c r="J497" s="286"/>
      <c r="K497" s="290"/>
      <c r="L497" s="290"/>
      <c r="M497" s="286"/>
      <c r="N497" s="291"/>
      <c r="O497" s="292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</row>
    <row r="498" ht="14.25" customHeight="1">
      <c r="A498" s="32"/>
      <c r="B498" s="286"/>
      <c r="C498" s="286"/>
      <c r="D498" s="288"/>
      <c r="E498" s="289"/>
      <c r="F498" s="289"/>
      <c r="G498" s="289"/>
      <c r="H498" s="289"/>
      <c r="I498" s="289"/>
      <c r="J498" s="286"/>
      <c r="K498" s="290"/>
      <c r="L498" s="290"/>
      <c r="M498" s="286"/>
      <c r="N498" s="291"/>
      <c r="O498" s="292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</row>
    <row r="499" ht="14.25" customHeight="1">
      <c r="A499" s="32"/>
      <c r="B499" s="286"/>
      <c r="C499" s="286"/>
      <c r="D499" s="288"/>
      <c r="E499" s="289"/>
      <c r="F499" s="289"/>
      <c r="G499" s="289"/>
      <c r="H499" s="289"/>
      <c r="I499" s="289"/>
      <c r="J499" s="286"/>
      <c r="K499" s="290"/>
      <c r="L499" s="290"/>
      <c r="M499" s="286"/>
      <c r="N499" s="291"/>
      <c r="O499" s="292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</row>
    <row r="500" ht="14.25" customHeight="1">
      <c r="A500" s="32"/>
      <c r="B500" s="286"/>
      <c r="C500" s="286"/>
      <c r="D500" s="288"/>
      <c r="E500" s="289"/>
      <c r="F500" s="289"/>
      <c r="G500" s="289"/>
      <c r="H500" s="289"/>
      <c r="I500" s="289"/>
      <c r="J500" s="286"/>
      <c r="K500" s="290"/>
      <c r="L500" s="290"/>
      <c r="M500" s="286"/>
      <c r="N500" s="291"/>
      <c r="O500" s="292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</row>
    <row r="501" ht="14.25" customHeight="1">
      <c r="A501" s="32"/>
      <c r="B501" s="286"/>
      <c r="C501" s="286"/>
      <c r="D501" s="288"/>
      <c r="E501" s="289"/>
      <c r="F501" s="289"/>
      <c r="G501" s="289"/>
      <c r="H501" s="289"/>
      <c r="I501" s="289"/>
      <c r="J501" s="286"/>
      <c r="K501" s="290"/>
      <c r="L501" s="290"/>
      <c r="M501" s="286"/>
      <c r="N501" s="291"/>
      <c r="O501" s="292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</row>
    <row r="502" ht="14.25" customHeight="1">
      <c r="A502" s="32"/>
      <c r="B502" s="286"/>
      <c r="C502" s="286"/>
      <c r="D502" s="288"/>
      <c r="E502" s="289"/>
      <c r="F502" s="289"/>
      <c r="G502" s="289"/>
      <c r="H502" s="289"/>
      <c r="I502" s="289"/>
      <c r="J502" s="286"/>
      <c r="K502" s="290"/>
      <c r="L502" s="290"/>
      <c r="M502" s="286"/>
      <c r="N502" s="291"/>
      <c r="O502" s="292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</row>
    <row r="503" ht="14.25" customHeight="1">
      <c r="A503" s="32"/>
      <c r="B503" s="286"/>
      <c r="C503" s="286"/>
      <c r="D503" s="288"/>
      <c r="E503" s="289"/>
      <c r="F503" s="289"/>
      <c r="G503" s="289"/>
      <c r="H503" s="289"/>
      <c r="I503" s="289"/>
      <c r="J503" s="286"/>
      <c r="K503" s="290"/>
      <c r="L503" s="290"/>
      <c r="M503" s="286"/>
      <c r="N503" s="291"/>
      <c r="O503" s="292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</row>
    <row r="504" ht="14.25" customHeight="1">
      <c r="A504" s="32"/>
      <c r="B504" s="286"/>
      <c r="C504" s="286"/>
      <c r="D504" s="288"/>
      <c r="E504" s="289"/>
      <c r="F504" s="289"/>
      <c r="G504" s="289"/>
      <c r="H504" s="289"/>
      <c r="I504" s="289"/>
      <c r="J504" s="286"/>
      <c r="K504" s="290"/>
      <c r="L504" s="290"/>
      <c r="M504" s="286"/>
      <c r="N504" s="291"/>
      <c r="O504" s="292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</row>
    <row r="505" ht="14.25" customHeight="1">
      <c r="A505" s="32"/>
      <c r="B505" s="286"/>
      <c r="C505" s="286"/>
      <c r="D505" s="288"/>
      <c r="E505" s="289"/>
      <c r="F505" s="289"/>
      <c r="G505" s="289"/>
      <c r="H505" s="289"/>
      <c r="I505" s="289"/>
      <c r="J505" s="286"/>
      <c r="K505" s="290"/>
      <c r="L505" s="290"/>
      <c r="M505" s="286"/>
      <c r="N505" s="291"/>
      <c r="O505" s="292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</row>
    <row r="506" ht="14.25" customHeight="1">
      <c r="A506" s="32"/>
      <c r="B506" s="286"/>
      <c r="C506" s="286"/>
      <c r="D506" s="288"/>
      <c r="E506" s="289"/>
      <c r="F506" s="289"/>
      <c r="G506" s="289"/>
      <c r="H506" s="289"/>
      <c r="I506" s="289"/>
      <c r="J506" s="286"/>
      <c r="K506" s="290"/>
      <c r="L506" s="290"/>
      <c r="M506" s="286"/>
      <c r="N506" s="291"/>
      <c r="O506" s="292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</row>
    <row r="507" ht="14.25" customHeight="1">
      <c r="A507" s="32"/>
      <c r="B507" s="286"/>
      <c r="C507" s="286"/>
      <c r="D507" s="288"/>
      <c r="E507" s="289"/>
      <c r="F507" s="289"/>
      <c r="G507" s="289"/>
      <c r="H507" s="289"/>
      <c r="I507" s="289"/>
      <c r="J507" s="286"/>
      <c r="K507" s="290"/>
      <c r="L507" s="290"/>
      <c r="M507" s="286"/>
      <c r="N507" s="291"/>
      <c r="O507" s="292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</row>
    <row r="508" ht="14.25" customHeight="1">
      <c r="A508" s="32"/>
      <c r="B508" s="286"/>
      <c r="C508" s="286"/>
      <c r="D508" s="288"/>
      <c r="E508" s="289"/>
      <c r="F508" s="289"/>
      <c r="G508" s="289"/>
      <c r="H508" s="289"/>
      <c r="I508" s="289"/>
      <c r="J508" s="286"/>
      <c r="K508" s="290"/>
      <c r="L508" s="290"/>
      <c r="M508" s="286"/>
      <c r="N508" s="291"/>
      <c r="O508" s="292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</row>
    <row r="509" ht="14.25" customHeight="1">
      <c r="A509" s="32"/>
      <c r="B509" s="286"/>
      <c r="C509" s="286"/>
      <c r="D509" s="288"/>
      <c r="E509" s="289"/>
      <c r="F509" s="289"/>
      <c r="G509" s="289"/>
      <c r="H509" s="289"/>
      <c r="I509" s="289"/>
      <c r="J509" s="286"/>
      <c r="K509" s="290"/>
      <c r="L509" s="290"/>
      <c r="M509" s="286"/>
      <c r="N509" s="291"/>
      <c r="O509" s="292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</row>
    <row r="510" ht="14.25" customHeight="1">
      <c r="A510" s="32"/>
      <c r="B510" s="286"/>
      <c r="C510" s="286"/>
      <c r="D510" s="288"/>
      <c r="E510" s="289"/>
      <c r="F510" s="289"/>
      <c r="G510" s="289"/>
      <c r="H510" s="289"/>
      <c r="I510" s="289"/>
      <c r="J510" s="286"/>
      <c r="K510" s="290"/>
      <c r="L510" s="290"/>
      <c r="M510" s="286"/>
      <c r="N510" s="291"/>
      <c r="O510" s="292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</row>
    <row r="511" ht="14.25" customHeight="1">
      <c r="A511" s="32"/>
      <c r="B511" s="286"/>
      <c r="C511" s="286"/>
      <c r="D511" s="288"/>
      <c r="E511" s="289"/>
      <c r="F511" s="289"/>
      <c r="G511" s="289"/>
      <c r="H511" s="289"/>
      <c r="I511" s="289"/>
      <c r="J511" s="286"/>
      <c r="K511" s="290"/>
      <c r="L511" s="290"/>
      <c r="M511" s="286"/>
      <c r="N511" s="291"/>
      <c r="O511" s="292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</row>
    <row r="512" ht="14.25" customHeight="1">
      <c r="A512" s="32"/>
      <c r="B512" s="286"/>
      <c r="C512" s="286"/>
      <c r="D512" s="288"/>
      <c r="E512" s="289"/>
      <c r="F512" s="289"/>
      <c r="G512" s="289"/>
      <c r="H512" s="289"/>
      <c r="I512" s="289"/>
      <c r="J512" s="286"/>
      <c r="K512" s="290"/>
      <c r="L512" s="290"/>
      <c r="M512" s="286"/>
      <c r="N512" s="291"/>
      <c r="O512" s="292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</row>
    <row r="513" ht="14.25" customHeight="1">
      <c r="A513" s="32"/>
      <c r="B513" s="286"/>
      <c r="C513" s="286"/>
      <c r="D513" s="288"/>
      <c r="E513" s="289"/>
      <c r="F513" s="289"/>
      <c r="G513" s="289"/>
      <c r="H513" s="289"/>
      <c r="I513" s="289"/>
      <c r="J513" s="286"/>
      <c r="K513" s="290"/>
      <c r="L513" s="290"/>
      <c r="M513" s="286"/>
      <c r="N513" s="291"/>
      <c r="O513" s="292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</row>
    <row r="514" ht="14.25" customHeight="1">
      <c r="A514" s="32"/>
      <c r="B514" s="286"/>
      <c r="C514" s="286"/>
      <c r="D514" s="288"/>
      <c r="E514" s="289"/>
      <c r="F514" s="289"/>
      <c r="G514" s="289"/>
      <c r="H514" s="289"/>
      <c r="I514" s="289"/>
      <c r="J514" s="286"/>
      <c r="K514" s="290"/>
      <c r="L514" s="290"/>
      <c r="M514" s="286"/>
      <c r="N514" s="291"/>
      <c r="O514" s="292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</row>
    <row r="515" ht="14.25" customHeight="1">
      <c r="A515" s="32"/>
      <c r="B515" s="286"/>
      <c r="C515" s="286"/>
      <c r="D515" s="288"/>
      <c r="E515" s="289"/>
      <c r="F515" s="289"/>
      <c r="G515" s="289"/>
      <c r="H515" s="289"/>
      <c r="I515" s="289"/>
      <c r="J515" s="286"/>
      <c r="K515" s="290"/>
      <c r="L515" s="290"/>
      <c r="M515" s="286"/>
      <c r="N515" s="291"/>
      <c r="O515" s="292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</row>
    <row r="516" ht="14.25" customHeight="1">
      <c r="A516" s="32"/>
      <c r="B516" s="286"/>
      <c r="C516" s="286"/>
      <c r="D516" s="288"/>
      <c r="E516" s="289"/>
      <c r="F516" s="289"/>
      <c r="G516" s="289"/>
      <c r="H516" s="289"/>
      <c r="I516" s="289"/>
      <c r="J516" s="286"/>
      <c r="K516" s="290"/>
      <c r="L516" s="290"/>
      <c r="M516" s="286"/>
      <c r="N516" s="291"/>
      <c r="O516" s="292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</row>
    <row r="517" ht="14.25" customHeight="1">
      <c r="A517" s="32"/>
      <c r="B517" s="286"/>
      <c r="C517" s="286"/>
      <c r="D517" s="288"/>
      <c r="E517" s="289"/>
      <c r="F517" s="289"/>
      <c r="G517" s="289"/>
      <c r="H517" s="289"/>
      <c r="I517" s="289"/>
      <c r="J517" s="286"/>
      <c r="K517" s="290"/>
      <c r="L517" s="290"/>
      <c r="M517" s="286"/>
      <c r="N517" s="291"/>
      <c r="O517" s="292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</row>
    <row r="518" ht="14.25" customHeight="1">
      <c r="A518" s="32"/>
      <c r="B518" s="286"/>
      <c r="C518" s="286"/>
      <c r="D518" s="288"/>
      <c r="E518" s="289"/>
      <c r="F518" s="289"/>
      <c r="G518" s="289"/>
      <c r="H518" s="289"/>
      <c r="I518" s="289"/>
      <c r="J518" s="286"/>
      <c r="K518" s="290"/>
      <c r="L518" s="290"/>
      <c r="M518" s="286"/>
      <c r="N518" s="291"/>
      <c r="O518" s="292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</row>
    <row r="519" ht="14.25" customHeight="1">
      <c r="A519" s="32"/>
      <c r="B519" s="286"/>
      <c r="C519" s="286"/>
      <c r="D519" s="288"/>
      <c r="E519" s="289"/>
      <c r="F519" s="289"/>
      <c r="G519" s="289"/>
      <c r="H519" s="289"/>
      <c r="I519" s="289"/>
      <c r="J519" s="286"/>
      <c r="K519" s="290"/>
      <c r="L519" s="290"/>
      <c r="M519" s="286"/>
      <c r="N519" s="291"/>
      <c r="O519" s="292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</row>
    <row r="520" ht="14.25" customHeight="1">
      <c r="A520" s="32"/>
      <c r="B520" s="286"/>
      <c r="C520" s="286"/>
      <c r="D520" s="288"/>
      <c r="E520" s="289"/>
      <c r="F520" s="289"/>
      <c r="G520" s="289"/>
      <c r="H520" s="289"/>
      <c r="I520" s="289"/>
      <c r="J520" s="286"/>
      <c r="K520" s="290"/>
      <c r="L520" s="290"/>
      <c r="M520" s="286"/>
      <c r="N520" s="291"/>
      <c r="O520" s="292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</row>
    <row r="521" ht="14.25" customHeight="1">
      <c r="A521" s="32"/>
      <c r="B521" s="286"/>
      <c r="C521" s="286"/>
      <c r="D521" s="288"/>
      <c r="E521" s="289"/>
      <c r="F521" s="289"/>
      <c r="G521" s="289"/>
      <c r="H521" s="289"/>
      <c r="I521" s="289"/>
      <c r="J521" s="286"/>
      <c r="K521" s="290"/>
      <c r="L521" s="290"/>
      <c r="M521" s="286"/>
      <c r="N521" s="291"/>
      <c r="O521" s="292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</row>
    <row r="522" ht="14.25" customHeight="1">
      <c r="A522" s="32"/>
      <c r="B522" s="286"/>
      <c r="C522" s="286"/>
      <c r="D522" s="288"/>
      <c r="E522" s="289"/>
      <c r="F522" s="289"/>
      <c r="G522" s="289"/>
      <c r="H522" s="289"/>
      <c r="I522" s="289"/>
      <c r="J522" s="286"/>
      <c r="K522" s="290"/>
      <c r="L522" s="290"/>
      <c r="M522" s="286"/>
      <c r="N522" s="291"/>
      <c r="O522" s="292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</row>
    <row r="523" ht="14.25" customHeight="1">
      <c r="A523" s="32"/>
      <c r="B523" s="286"/>
      <c r="C523" s="286"/>
      <c r="D523" s="288"/>
      <c r="E523" s="289"/>
      <c r="F523" s="289"/>
      <c r="G523" s="289"/>
      <c r="H523" s="289"/>
      <c r="I523" s="289"/>
      <c r="J523" s="286"/>
      <c r="K523" s="290"/>
      <c r="L523" s="290"/>
      <c r="M523" s="286"/>
      <c r="N523" s="291"/>
      <c r="O523" s="292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</row>
    <row r="524" ht="14.25" customHeight="1">
      <c r="A524" s="32"/>
      <c r="B524" s="286"/>
      <c r="C524" s="286"/>
      <c r="D524" s="288"/>
      <c r="E524" s="289"/>
      <c r="F524" s="289"/>
      <c r="G524" s="289"/>
      <c r="H524" s="289"/>
      <c r="I524" s="289"/>
      <c r="J524" s="286"/>
      <c r="K524" s="290"/>
      <c r="L524" s="290"/>
      <c r="M524" s="286"/>
      <c r="N524" s="291"/>
      <c r="O524" s="292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</row>
    <row r="525" ht="14.25" customHeight="1">
      <c r="A525" s="32"/>
      <c r="B525" s="286"/>
      <c r="C525" s="286"/>
      <c r="D525" s="288"/>
      <c r="E525" s="289"/>
      <c r="F525" s="289"/>
      <c r="G525" s="289"/>
      <c r="H525" s="289"/>
      <c r="I525" s="289"/>
      <c r="J525" s="286"/>
      <c r="K525" s="290"/>
      <c r="L525" s="290"/>
      <c r="M525" s="286"/>
      <c r="N525" s="291"/>
      <c r="O525" s="292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</row>
    <row r="526" ht="14.25" customHeight="1">
      <c r="A526" s="32"/>
      <c r="B526" s="286"/>
      <c r="C526" s="286"/>
      <c r="D526" s="288"/>
      <c r="E526" s="289"/>
      <c r="F526" s="289"/>
      <c r="G526" s="289"/>
      <c r="H526" s="289"/>
      <c r="I526" s="289"/>
      <c r="J526" s="286"/>
      <c r="K526" s="290"/>
      <c r="L526" s="290"/>
      <c r="M526" s="286"/>
      <c r="N526" s="291"/>
      <c r="O526" s="292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</row>
    <row r="527" ht="14.25" customHeight="1">
      <c r="A527" s="32"/>
      <c r="B527" s="286"/>
      <c r="C527" s="286"/>
      <c r="D527" s="288"/>
      <c r="E527" s="289"/>
      <c r="F527" s="289"/>
      <c r="G527" s="289"/>
      <c r="H527" s="289"/>
      <c r="I527" s="289"/>
      <c r="J527" s="286"/>
      <c r="K527" s="290"/>
      <c r="L527" s="290"/>
      <c r="M527" s="286"/>
      <c r="N527" s="291"/>
      <c r="O527" s="292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</row>
    <row r="528" ht="14.25" customHeight="1">
      <c r="A528" s="32"/>
      <c r="B528" s="286"/>
      <c r="C528" s="286"/>
      <c r="D528" s="288"/>
      <c r="E528" s="289"/>
      <c r="F528" s="289"/>
      <c r="G528" s="289"/>
      <c r="H528" s="289"/>
      <c r="I528" s="289"/>
      <c r="J528" s="286"/>
      <c r="K528" s="290"/>
      <c r="L528" s="290"/>
      <c r="M528" s="286"/>
      <c r="N528" s="291"/>
      <c r="O528" s="292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</row>
    <row r="529" ht="14.25" customHeight="1">
      <c r="A529" s="32"/>
      <c r="B529" s="286"/>
      <c r="C529" s="286"/>
      <c r="D529" s="288"/>
      <c r="E529" s="289"/>
      <c r="F529" s="289"/>
      <c r="G529" s="289"/>
      <c r="H529" s="289"/>
      <c r="I529" s="289"/>
      <c r="J529" s="286"/>
      <c r="K529" s="290"/>
      <c r="L529" s="290"/>
      <c r="M529" s="286"/>
      <c r="N529" s="291"/>
      <c r="O529" s="292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</row>
    <row r="530" ht="14.25" customHeight="1">
      <c r="A530" s="32"/>
      <c r="B530" s="286"/>
      <c r="C530" s="286"/>
      <c r="D530" s="288"/>
      <c r="E530" s="289"/>
      <c r="F530" s="289"/>
      <c r="G530" s="289"/>
      <c r="H530" s="289"/>
      <c r="I530" s="289"/>
      <c r="J530" s="286"/>
      <c r="K530" s="290"/>
      <c r="L530" s="290"/>
      <c r="M530" s="286"/>
      <c r="N530" s="291"/>
      <c r="O530" s="292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</row>
    <row r="531" ht="14.25" customHeight="1">
      <c r="A531" s="32"/>
      <c r="B531" s="286"/>
      <c r="C531" s="286"/>
      <c r="D531" s="288"/>
      <c r="E531" s="289"/>
      <c r="F531" s="289"/>
      <c r="G531" s="289"/>
      <c r="H531" s="289"/>
      <c r="I531" s="289"/>
      <c r="J531" s="286"/>
      <c r="K531" s="290"/>
      <c r="L531" s="290"/>
      <c r="M531" s="286"/>
      <c r="N531" s="291"/>
      <c r="O531" s="292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</row>
    <row r="532" ht="14.25" customHeight="1">
      <c r="A532" s="32"/>
      <c r="B532" s="286"/>
      <c r="C532" s="286"/>
      <c r="D532" s="288"/>
      <c r="E532" s="289"/>
      <c r="F532" s="289"/>
      <c r="G532" s="289"/>
      <c r="H532" s="289"/>
      <c r="I532" s="289"/>
      <c r="J532" s="286"/>
      <c r="K532" s="290"/>
      <c r="L532" s="290"/>
      <c r="M532" s="286"/>
      <c r="N532" s="291"/>
      <c r="O532" s="292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</row>
    <row r="533" ht="14.25" customHeight="1">
      <c r="A533" s="32"/>
      <c r="B533" s="286"/>
      <c r="C533" s="286"/>
      <c r="D533" s="288"/>
      <c r="E533" s="289"/>
      <c r="F533" s="289"/>
      <c r="G533" s="289"/>
      <c r="H533" s="289"/>
      <c r="I533" s="289"/>
      <c r="J533" s="286"/>
      <c r="K533" s="290"/>
      <c r="L533" s="290"/>
      <c r="M533" s="286"/>
      <c r="N533" s="291"/>
      <c r="O533" s="292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</row>
    <row r="534" ht="14.25" customHeight="1">
      <c r="A534" s="32"/>
      <c r="B534" s="286"/>
      <c r="C534" s="286"/>
      <c r="D534" s="288"/>
      <c r="E534" s="289"/>
      <c r="F534" s="289"/>
      <c r="G534" s="289"/>
      <c r="H534" s="289"/>
      <c r="I534" s="289"/>
      <c r="J534" s="286"/>
      <c r="K534" s="290"/>
      <c r="L534" s="290"/>
      <c r="M534" s="286"/>
      <c r="N534" s="291"/>
      <c r="O534" s="292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</row>
    <row r="535" ht="14.25" customHeight="1">
      <c r="A535" s="32"/>
      <c r="B535" s="286"/>
      <c r="C535" s="286"/>
      <c r="D535" s="288"/>
      <c r="E535" s="289"/>
      <c r="F535" s="289"/>
      <c r="G535" s="289"/>
      <c r="H535" s="289"/>
      <c r="I535" s="289"/>
      <c r="J535" s="286"/>
      <c r="K535" s="290"/>
      <c r="L535" s="290"/>
      <c r="M535" s="286"/>
      <c r="N535" s="291"/>
      <c r="O535" s="292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</row>
    <row r="536" ht="14.25" customHeight="1">
      <c r="A536" s="32"/>
      <c r="B536" s="286"/>
      <c r="C536" s="286"/>
      <c r="D536" s="288"/>
      <c r="E536" s="289"/>
      <c r="F536" s="289"/>
      <c r="G536" s="289"/>
      <c r="H536" s="289"/>
      <c r="I536" s="289"/>
      <c r="J536" s="286"/>
      <c r="K536" s="290"/>
      <c r="L536" s="290"/>
      <c r="M536" s="286"/>
      <c r="N536" s="291"/>
      <c r="O536" s="292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</row>
    <row r="537" ht="14.25" customHeight="1">
      <c r="A537" s="32"/>
      <c r="B537" s="286"/>
      <c r="C537" s="286"/>
      <c r="D537" s="288"/>
      <c r="E537" s="289"/>
      <c r="F537" s="289"/>
      <c r="G537" s="289"/>
      <c r="H537" s="289"/>
      <c r="I537" s="289"/>
      <c r="J537" s="286"/>
      <c r="K537" s="290"/>
      <c r="L537" s="290"/>
      <c r="M537" s="286"/>
      <c r="N537" s="291"/>
      <c r="O537" s="292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</row>
    <row r="538" ht="14.25" customHeight="1">
      <c r="A538" s="32"/>
      <c r="B538" s="286"/>
      <c r="C538" s="286"/>
      <c r="D538" s="288"/>
      <c r="E538" s="289"/>
      <c r="F538" s="289"/>
      <c r="G538" s="289"/>
      <c r="H538" s="289"/>
      <c r="I538" s="289"/>
      <c r="J538" s="286"/>
      <c r="K538" s="290"/>
      <c r="L538" s="290"/>
      <c r="M538" s="286"/>
      <c r="N538" s="291"/>
      <c r="O538" s="292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</row>
    <row r="539" ht="14.25" customHeight="1">
      <c r="A539" s="32"/>
      <c r="B539" s="286"/>
      <c r="C539" s="286"/>
      <c r="D539" s="288"/>
      <c r="E539" s="289"/>
      <c r="F539" s="289"/>
      <c r="G539" s="289"/>
      <c r="H539" s="289"/>
      <c r="I539" s="289"/>
      <c r="J539" s="286"/>
      <c r="K539" s="290"/>
      <c r="L539" s="290"/>
      <c r="M539" s="286"/>
      <c r="N539" s="291"/>
      <c r="O539" s="292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</row>
    <row r="540" ht="14.25" customHeight="1">
      <c r="A540" s="32"/>
      <c r="B540" s="286"/>
      <c r="C540" s="286"/>
      <c r="D540" s="288"/>
      <c r="E540" s="289"/>
      <c r="F540" s="289"/>
      <c r="G540" s="289"/>
      <c r="H540" s="289"/>
      <c r="I540" s="289"/>
      <c r="J540" s="286"/>
      <c r="K540" s="290"/>
      <c r="L540" s="290"/>
      <c r="M540" s="286"/>
      <c r="N540" s="291"/>
      <c r="O540" s="292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</row>
    <row r="541" ht="14.25" customHeight="1">
      <c r="A541" s="32"/>
      <c r="B541" s="286"/>
      <c r="C541" s="286"/>
      <c r="D541" s="288"/>
      <c r="E541" s="289"/>
      <c r="F541" s="289"/>
      <c r="G541" s="289"/>
      <c r="H541" s="289"/>
      <c r="I541" s="289"/>
      <c r="J541" s="286"/>
      <c r="K541" s="290"/>
      <c r="L541" s="290"/>
      <c r="M541" s="286"/>
      <c r="N541" s="291"/>
      <c r="O541" s="292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</row>
    <row r="542" ht="14.25" customHeight="1">
      <c r="A542" s="32"/>
      <c r="B542" s="286"/>
      <c r="C542" s="286"/>
      <c r="D542" s="288"/>
      <c r="E542" s="289"/>
      <c r="F542" s="289"/>
      <c r="G542" s="289"/>
      <c r="H542" s="289"/>
      <c r="I542" s="289"/>
      <c r="J542" s="286"/>
      <c r="K542" s="290"/>
      <c r="L542" s="290"/>
      <c r="M542" s="286"/>
      <c r="N542" s="291"/>
      <c r="O542" s="292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</row>
    <row r="543" ht="14.25" customHeight="1">
      <c r="A543" s="32"/>
      <c r="B543" s="286"/>
      <c r="C543" s="286"/>
      <c r="D543" s="288"/>
      <c r="E543" s="289"/>
      <c r="F543" s="289"/>
      <c r="G543" s="289"/>
      <c r="H543" s="289"/>
      <c r="I543" s="289"/>
      <c r="J543" s="286"/>
      <c r="K543" s="290"/>
      <c r="L543" s="290"/>
      <c r="M543" s="286"/>
      <c r="N543" s="291"/>
      <c r="O543" s="292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</row>
    <row r="544" ht="14.25" customHeight="1">
      <c r="A544" s="32"/>
      <c r="B544" s="286"/>
      <c r="C544" s="286"/>
      <c r="D544" s="288"/>
      <c r="E544" s="289"/>
      <c r="F544" s="289"/>
      <c r="G544" s="289"/>
      <c r="H544" s="289"/>
      <c r="I544" s="289"/>
      <c r="J544" s="286"/>
      <c r="K544" s="290"/>
      <c r="L544" s="290"/>
      <c r="M544" s="286"/>
      <c r="N544" s="291"/>
      <c r="O544" s="292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</row>
    <row r="545" ht="14.25" customHeight="1">
      <c r="A545" s="32"/>
      <c r="B545" s="286"/>
      <c r="C545" s="286"/>
      <c r="D545" s="288"/>
      <c r="E545" s="289"/>
      <c r="F545" s="289"/>
      <c r="G545" s="289"/>
      <c r="H545" s="289"/>
      <c r="I545" s="289"/>
      <c r="J545" s="286"/>
      <c r="K545" s="290"/>
      <c r="L545" s="290"/>
      <c r="M545" s="286"/>
      <c r="N545" s="291"/>
      <c r="O545" s="292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</row>
    <row r="546" ht="14.25" customHeight="1">
      <c r="A546" s="32"/>
      <c r="B546" s="286"/>
      <c r="C546" s="286"/>
      <c r="D546" s="288"/>
      <c r="E546" s="289"/>
      <c r="F546" s="289"/>
      <c r="G546" s="289"/>
      <c r="H546" s="289"/>
      <c r="I546" s="289"/>
      <c r="J546" s="286"/>
      <c r="K546" s="290"/>
      <c r="L546" s="290"/>
      <c r="M546" s="286"/>
      <c r="N546" s="291"/>
      <c r="O546" s="292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</row>
    <row r="547" ht="14.25" customHeight="1">
      <c r="A547" s="32"/>
      <c r="B547" s="286"/>
      <c r="C547" s="286"/>
      <c r="D547" s="288"/>
      <c r="E547" s="289"/>
      <c r="F547" s="289"/>
      <c r="G547" s="289"/>
      <c r="H547" s="289"/>
      <c r="I547" s="289"/>
      <c r="J547" s="286"/>
      <c r="K547" s="290"/>
      <c r="L547" s="290"/>
      <c r="M547" s="286"/>
      <c r="N547" s="291"/>
      <c r="O547" s="292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</row>
    <row r="548" ht="14.25" customHeight="1">
      <c r="A548" s="32"/>
      <c r="B548" s="286"/>
      <c r="C548" s="286"/>
      <c r="D548" s="288"/>
      <c r="E548" s="289"/>
      <c r="F548" s="289"/>
      <c r="G548" s="289"/>
      <c r="H548" s="289"/>
      <c r="I548" s="289"/>
      <c r="J548" s="286"/>
      <c r="K548" s="290"/>
      <c r="L548" s="290"/>
      <c r="M548" s="286"/>
      <c r="N548" s="291"/>
      <c r="O548" s="292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</row>
    <row r="549" ht="14.25" customHeight="1">
      <c r="A549" s="32"/>
      <c r="B549" s="286"/>
      <c r="C549" s="286"/>
      <c r="D549" s="288"/>
      <c r="E549" s="289"/>
      <c r="F549" s="289"/>
      <c r="G549" s="289"/>
      <c r="H549" s="289"/>
      <c r="I549" s="289"/>
      <c r="J549" s="286"/>
      <c r="K549" s="290"/>
      <c r="L549" s="290"/>
      <c r="M549" s="286"/>
      <c r="N549" s="291"/>
      <c r="O549" s="292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</row>
    <row r="550" ht="14.25" customHeight="1">
      <c r="A550" s="32"/>
      <c r="B550" s="286"/>
      <c r="C550" s="286"/>
      <c r="D550" s="288"/>
      <c r="E550" s="289"/>
      <c r="F550" s="289"/>
      <c r="G550" s="289"/>
      <c r="H550" s="289"/>
      <c r="I550" s="289"/>
      <c r="J550" s="286"/>
      <c r="K550" s="290"/>
      <c r="L550" s="290"/>
      <c r="M550" s="286"/>
      <c r="N550" s="291"/>
      <c r="O550" s="292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</row>
    <row r="551" ht="14.25" customHeight="1">
      <c r="A551" s="32"/>
      <c r="B551" s="286"/>
      <c r="C551" s="286"/>
      <c r="D551" s="288"/>
      <c r="E551" s="289"/>
      <c r="F551" s="289"/>
      <c r="G551" s="289"/>
      <c r="H551" s="289"/>
      <c r="I551" s="289"/>
      <c r="J551" s="286"/>
      <c r="K551" s="290"/>
      <c r="L551" s="290"/>
      <c r="M551" s="286"/>
      <c r="N551" s="291"/>
      <c r="O551" s="292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</row>
    <row r="552" ht="14.25" customHeight="1">
      <c r="A552" s="32"/>
      <c r="B552" s="286"/>
      <c r="C552" s="286"/>
      <c r="D552" s="288"/>
      <c r="E552" s="289"/>
      <c r="F552" s="289"/>
      <c r="G552" s="289"/>
      <c r="H552" s="289"/>
      <c r="I552" s="289"/>
      <c r="J552" s="286"/>
      <c r="K552" s="290"/>
      <c r="L552" s="290"/>
      <c r="M552" s="286"/>
      <c r="N552" s="291"/>
      <c r="O552" s="292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</row>
    <row r="553" ht="14.25" customHeight="1">
      <c r="A553" s="32"/>
      <c r="B553" s="286"/>
      <c r="C553" s="286"/>
      <c r="D553" s="288"/>
      <c r="E553" s="289"/>
      <c r="F553" s="289"/>
      <c r="G553" s="289"/>
      <c r="H553" s="289"/>
      <c r="I553" s="289"/>
      <c r="J553" s="286"/>
      <c r="K553" s="290"/>
      <c r="L553" s="290"/>
      <c r="M553" s="286"/>
      <c r="N553" s="291"/>
      <c r="O553" s="292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</row>
    <row r="554" ht="14.25" customHeight="1">
      <c r="A554" s="32"/>
      <c r="B554" s="286"/>
      <c r="C554" s="286"/>
      <c r="D554" s="288"/>
      <c r="E554" s="289"/>
      <c r="F554" s="289"/>
      <c r="G554" s="289"/>
      <c r="H554" s="289"/>
      <c r="I554" s="289"/>
      <c r="J554" s="286"/>
      <c r="K554" s="290"/>
      <c r="L554" s="290"/>
      <c r="M554" s="286"/>
      <c r="N554" s="291"/>
      <c r="O554" s="292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</row>
    <row r="555" ht="14.25" customHeight="1">
      <c r="A555" s="32"/>
      <c r="B555" s="286"/>
      <c r="C555" s="286"/>
      <c r="D555" s="288"/>
      <c r="E555" s="289"/>
      <c r="F555" s="289"/>
      <c r="G555" s="289"/>
      <c r="H555" s="289"/>
      <c r="I555" s="289"/>
      <c r="J555" s="286"/>
      <c r="K555" s="290"/>
      <c r="L555" s="290"/>
      <c r="M555" s="286"/>
      <c r="N555" s="291"/>
      <c r="O555" s="292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</row>
    <row r="556" ht="14.25" customHeight="1">
      <c r="A556" s="32"/>
      <c r="B556" s="286"/>
      <c r="C556" s="286"/>
      <c r="D556" s="288"/>
      <c r="E556" s="289"/>
      <c r="F556" s="289"/>
      <c r="G556" s="289"/>
      <c r="H556" s="289"/>
      <c r="I556" s="289"/>
      <c r="J556" s="286"/>
      <c r="K556" s="290"/>
      <c r="L556" s="290"/>
      <c r="M556" s="286"/>
      <c r="N556" s="291"/>
      <c r="O556" s="292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</row>
    <row r="557" ht="14.25" customHeight="1">
      <c r="A557" s="32"/>
      <c r="B557" s="286"/>
      <c r="C557" s="286"/>
      <c r="D557" s="288"/>
      <c r="E557" s="289"/>
      <c r="F557" s="289"/>
      <c r="G557" s="289"/>
      <c r="H557" s="289"/>
      <c r="I557" s="289"/>
      <c r="J557" s="286"/>
      <c r="K557" s="290"/>
      <c r="L557" s="290"/>
      <c r="M557" s="286"/>
      <c r="N557" s="291"/>
      <c r="O557" s="292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</row>
    <row r="558" ht="14.25" customHeight="1">
      <c r="A558" s="32"/>
      <c r="B558" s="286"/>
      <c r="C558" s="286"/>
      <c r="D558" s="288"/>
      <c r="E558" s="289"/>
      <c r="F558" s="289"/>
      <c r="G558" s="289"/>
      <c r="H558" s="289"/>
      <c r="I558" s="289"/>
      <c r="J558" s="286"/>
      <c r="K558" s="290"/>
      <c r="L558" s="290"/>
      <c r="M558" s="286"/>
      <c r="N558" s="291"/>
      <c r="O558" s="292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</row>
    <row r="559" ht="14.25" customHeight="1">
      <c r="A559" s="32"/>
      <c r="B559" s="286"/>
      <c r="C559" s="286"/>
      <c r="D559" s="288"/>
      <c r="E559" s="289"/>
      <c r="F559" s="289"/>
      <c r="G559" s="289"/>
      <c r="H559" s="289"/>
      <c r="I559" s="289"/>
      <c r="J559" s="286"/>
      <c r="K559" s="290"/>
      <c r="L559" s="290"/>
      <c r="M559" s="286"/>
      <c r="N559" s="291"/>
      <c r="O559" s="292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</row>
    <row r="560" ht="14.25" customHeight="1">
      <c r="A560" s="32"/>
      <c r="B560" s="286"/>
      <c r="C560" s="286"/>
      <c r="D560" s="288"/>
      <c r="E560" s="289"/>
      <c r="F560" s="289"/>
      <c r="G560" s="289"/>
      <c r="H560" s="289"/>
      <c r="I560" s="289"/>
      <c r="J560" s="286"/>
      <c r="K560" s="290"/>
      <c r="L560" s="290"/>
      <c r="M560" s="286"/>
      <c r="N560" s="291"/>
      <c r="O560" s="292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</row>
    <row r="561" ht="14.25" customHeight="1">
      <c r="A561" s="32"/>
      <c r="B561" s="286"/>
      <c r="C561" s="286"/>
      <c r="D561" s="288"/>
      <c r="E561" s="289"/>
      <c r="F561" s="289"/>
      <c r="G561" s="289"/>
      <c r="H561" s="289"/>
      <c r="I561" s="289"/>
      <c r="J561" s="286"/>
      <c r="K561" s="290"/>
      <c r="L561" s="290"/>
      <c r="M561" s="286"/>
      <c r="N561" s="291"/>
      <c r="O561" s="292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</row>
    <row r="562" ht="14.25" customHeight="1">
      <c r="A562" s="32"/>
      <c r="B562" s="286"/>
      <c r="C562" s="286"/>
      <c r="D562" s="288"/>
      <c r="E562" s="289"/>
      <c r="F562" s="289"/>
      <c r="G562" s="289"/>
      <c r="H562" s="289"/>
      <c r="I562" s="289"/>
      <c r="J562" s="286"/>
      <c r="K562" s="290"/>
      <c r="L562" s="290"/>
      <c r="M562" s="286"/>
      <c r="N562" s="291"/>
      <c r="O562" s="292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</row>
    <row r="563" ht="14.25" customHeight="1">
      <c r="A563" s="32"/>
      <c r="B563" s="286"/>
      <c r="C563" s="286"/>
      <c r="D563" s="288"/>
      <c r="E563" s="289"/>
      <c r="F563" s="289"/>
      <c r="G563" s="289"/>
      <c r="H563" s="289"/>
      <c r="I563" s="289"/>
      <c r="J563" s="286"/>
      <c r="K563" s="290"/>
      <c r="L563" s="290"/>
      <c r="M563" s="286"/>
      <c r="N563" s="291"/>
      <c r="O563" s="292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</row>
    <row r="564" ht="14.25" customHeight="1">
      <c r="A564" s="32"/>
      <c r="B564" s="286"/>
      <c r="C564" s="286"/>
      <c r="D564" s="288"/>
      <c r="E564" s="289"/>
      <c r="F564" s="289"/>
      <c r="G564" s="289"/>
      <c r="H564" s="289"/>
      <c r="I564" s="289"/>
      <c r="J564" s="286"/>
      <c r="K564" s="290"/>
      <c r="L564" s="290"/>
      <c r="M564" s="286"/>
      <c r="N564" s="291"/>
      <c r="O564" s="292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</row>
    <row r="565" ht="14.25" customHeight="1">
      <c r="A565" s="32"/>
      <c r="B565" s="286"/>
      <c r="C565" s="286"/>
      <c r="D565" s="288"/>
      <c r="E565" s="289"/>
      <c r="F565" s="289"/>
      <c r="G565" s="289"/>
      <c r="H565" s="289"/>
      <c r="I565" s="289"/>
      <c r="J565" s="286"/>
      <c r="K565" s="290"/>
      <c r="L565" s="290"/>
      <c r="M565" s="286"/>
      <c r="N565" s="291"/>
      <c r="O565" s="292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</row>
    <row r="566" ht="14.25" customHeight="1">
      <c r="A566" s="32"/>
      <c r="B566" s="286"/>
      <c r="C566" s="286"/>
      <c r="D566" s="288"/>
      <c r="E566" s="289"/>
      <c r="F566" s="289"/>
      <c r="G566" s="289"/>
      <c r="H566" s="289"/>
      <c r="I566" s="289"/>
      <c r="J566" s="286"/>
      <c r="K566" s="290"/>
      <c r="L566" s="290"/>
      <c r="M566" s="286"/>
      <c r="N566" s="291"/>
      <c r="O566" s="292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</row>
    <row r="567" ht="14.25" customHeight="1">
      <c r="A567" s="32"/>
      <c r="B567" s="286"/>
      <c r="C567" s="286"/>
      <c r="D567" s="288"/>
      <c r="E567" s="289"/>
      <c r="F567" s="289"/>
      <c r="G567" s="289"/>
      <c r="H567" s="289"/>
      <c r="I567" s="289"/>
      <c r="J567" s="286"/>
      <c r="K567" s="290"/>
      <c r="L567" s="290"/>
      <c r="M567" s="286"/>
      <c r="N567" s="291"/>
      <c r="O567" s="292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</row>
    <row r="568" ht="14.25" customHeight="1">
      <c r="A568" s="32"/>
      <c r="B568" s="286"/>
      <c r="C568" s="286"/>
      <c r="D568" s="288"/>
      <c r="E568" s="289"/>
      <c r="F568" s="289"/>
      <c r="G568" s="289"/>
      <c r="H568" s="289"/>
      <c r="I568" s="289"/>
      <c r="J568" s="286"/>
      <c r="K568" s="290"/>
      <c r="L568" s="290"/>
      <c r="M568" s="286"/>
      <c r="N568" s="291"/>
      <c r="O568" s="292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</row>
    <row r="569" ht="14.25" customHeight="1">
      <c r="A569" s="32"/>
      <c r="B569" s="286"/>
      <c r="C569" s="286"/>
      <c r="D569" s="288"/>
      <c r="E569" s="289"/>
      <c r="F569" s="289"/>
      <c r="G569" s="289"/>
      <c r="H569" s="289"/>
      <c r="I569" s="289"/>
      <c r="J569" s="286"/>
      <c r="K569" s="290"/>
      <c r="L569" s="290"/>
      <c r="M569" s="286"/>
      <c r="N569" s="291"/>
      <c r="O569" s="292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</row>
    <row r="570" ht="14.25" customHeight="1">
      <c r="A570" s="32"/>
      <c r="B570" s="286"/>
      <c r="C570" s="286"/>
      <c r="D570" s="288"/>
      <c r="E570" s="289"/>
      <c r="F570" s="289"/>
      <c r="G570" s="289"/>
      <c r="H570" s="289"/>
      <c r="I570" s="289"/>
      <c r="J570" s="286"/>
      <c r="K570" s="290"/>
      <c r="L570" s="290"/>
      <c r="M570" s="286"/>
      <c r="N570" s="291"/>
      <c r="O570" s="292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</row>
    <row r="571" ht="14.25" customHeight="1">
      <c r="A571" s="32"/>
      <c r="B571" s="286"/>
      <c r="C571" s="286"/>
      <c r="D571" s="288"/>
      <c r="E571" s="289"/>
      <c r="F571" s="289"/>
      <c r="G571" s="289"/>
      <c r="H571" s="289"/>
      <c r="I571" s="289"/>
      <c r="J571" s="286"/>
      <c r="K571" s="290"/>
      <c r="L571" s="290"/>
      <c r="M571" s="286"/>
      <c r="N571" s="291"/>
      <c r="O571" s="292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</row>
    <row r="572" ht="14.25" customHeight="1">
      <c r="A572" s="32"/>
      <c r="B572" s="286"/>
      <c r="C572" s="286"/>
      <c r="D572" s="288"/>
      <c r="E572" s="289"/>
      <c r="F572" s="289"/>
      <c r="G572" s="289"/>
      <c r="H572" s="289"/>
      <c r="I572" s="289"/>
      <c r="J572" s="286"/>
      <c r="K572" s="290"/>
      <c r="L572" s="290"/>
      <c r="M572" s="286"/>
      <c r="N572" s="291"/>
      <c r="O572" s="292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</row>
    <row r="573" ht="14.25" customHeight="1">
      <c r="A573" s="32"/>
      <c r="B573" s="286"/>
      <c r="C573" s="286"/>
      <c r="D573" s="288"/>
      <c r="E573" s="289"/>
      <c r="F573" s="289"/>
      <c r="G573" s="289"/>
      <c r="H573" s="289"/>
      <c r="I573" s="289"/>
      <c r="J573" s="286"/>
      <c r="K573" s="290"/>
      <c r="L573" s="290"/>
      <c r="M573" s="286"/>
      <c r="N573" s="291"/>
      <c r="O573" s="292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</row>
    <row r="574" ht="14.25" customHeight="1">
      <c r="A574" s="32"/>
      <c r="B574" s="286"/>
      <c r="C574" s="286"/>
      <c r="D574" s="288"/>
      <c r="E574" s="289"/>
      <c r="F574" s="289"/>
      <c r="G574" s="289"/>
      <c r="H574" s="289"/>
      <c r="I574" s="289"/>
      <c r="J574" s="286"/>
      <c r="K574" s="290"/>
      <c r="L574" s="290"/>
      <c r="M574" s="286"/>
      <c r="N574" s="291"/>
      <c r="O574" s="292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</row>
    <row r="575" ht="14.25" customHeight="1">
      <c r="A575" s="32"/>
      <c r="B575" s="286"/>
      <c r="C575" s="286"/>
      <c r="D575" s="288"/>
      <c r="E575" s="289"/>
      <c r="F575" s="289"/>
      <c r="G575" s="289"/>
      <c r="H575" s="289"/>
      <c r="I575" s="289"/>
      <c r="J575" s="286"/>
      <c r="K575" s="290"/>
      <c r="L575" s="290"/>
      <c r="M575" s="286"/>
      <c r="N575" s="291"/>
      <c r="O575" s="292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</row>
    <row r="576" ht="14.25" customHeight="1">
      <c r="A576" s="32"/>
      <c r="B576" s="286"/>
      <c r="C576" s="286"/>
      <c r="D576" s="288"/>
      <c r="E576" s="289"/>
      <c r="F576" s="289"/>
      <c r="G576" s="289"/>
      <c r="H576" s="289"/>
      <c r="I576" s="289"/>
      <c r="J576" s="286"/>
      <c r="K576" s="290"/>
      <c r="L576" s="290"/>
      <c r="M576" s="286"/>
      <c r="N576" s="291"/>
      <c r="O576" s="292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</row>
    <row r="577" ht="14.25" customHeight="1">
      <c r="A577" s="32"/>
      <c r="B577" s="286"/>
      <c r="C577" s="286"/>
      <c r="D577" s="288"/>
      <c r="E577" s="289"/>
      <c r="F577" s="289"/>
      <c r="G577" s="289"/>
      <c r="H577" s="289"/>
      <c r="I577" s="289"/>
      <c r="J577" s="286"/>
      <c r="K577" s="290"/>
      <c r="L577" s="290"/>
      <c r="M577" s="286"/>
      <c r="N577" s="291"/>
      <c r="O577" s="292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</row>
    <row r="578" ht="14.25" customHeight="1">
      <c r="A578" s="32"/>
      <c r="B578" s="286"/>
      <c r="C578" s="286"/>
      <c r="D578" s="288"/>
      <c r="E578" s="289"/>
      <c r="F578" s="289"/>
      <c r="G578" s="289"/>
      <c r="H578" s="289"/>
      <c r="I578" s="289"/>
      <c r="J578" s="286"/>
      <c r="K578" s="290"/>
      <c r="L578" s="290"/>
      <c r="M578" s="286"/>
      <c r="N578" s="291"/>
      <c r="O578" s="292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</row>
    <row r="579" ht="14.25" customHeight="1">
      <c r="A579" s="32"/>
      <c r="B579" s="286"/>
      <c r="C579" s="286"/>
      <c r="D579" s="288"/>
      <c r="E579" s="289"/>
      <c r="F579" s="289"/>
      <c r="G579" s="289"/>
      <c r="H579" s="289"/>
      <c r="I579" s="289"/>
      <c r="J579" s="286"/>
      <c r="K579" s="290"/>
      <c r="L579" s="290"/>
      <c r="M579" s="286"/>
      <c r="N579" s="291"/>
      <c r="O579" s="292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</row>
    <row r="580" ht="14.25" customHeight="1">
      <c r="A580" s="32"/>
      <c r="B580" s="286"/>
      <c r="C580" s="286"/>
      <c r="D580" s="288"/>
      <c r="E580" s="289"/>
      <c r="F580" s="289"/>
      <c r="G580" s="289"/>
      <c r="H580" s="289"/>
      <c r="I580" s="289"/>
      <c r="J580" s="286"/>
      <c r="K580" s="290"/>
      <c r="L580" s="290"/>
      <c r="M580" s="286"/>
      <c r="N580" s="291"/>
      <c r="O580" s="292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</row>
    <row r="581" ht="14.25" customHeight="1">
      <c r="A581" s="32"/>
      <c r="B581" s="286"/>
      <c r="C581" s="286"/>
      <c r="D581" s="288"/>
      <c r="E581" s="289"/>
      <c r="F581" s="289"/>
      <c r="G581" s="289"/>
      <c r="H581" s="289"/>
      <c r="I581" s="289"/>
      <c r="J581" s="286"/>
      <c r="K581" s="290"/>
      <c r="L581" s="290"/>
      <c r="M581" s="286"/>
      <c r="N581" s="291"/>
      <c r="O581" s="292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</row>
    <row r="582" ht="14.25" customHeight="1">
      <c r="A582" s="32"/>
      <c r="B582" s="286"/>
      <c r="C582" s="286"/>
      <c r="D582" s="288"/>
      <c r="E582" s="289"/>
      <c r="F582" s="289"/>
      <c r="G582" s="289"/>
      <c r="H582" s="289"/>
      <c r="I582" s="289"/>
      <c r="J582" s="286"/>
      <c r="K582" s="290"/>
      <c r="L582" s="290"/>
      <c r="M582" s="286"/>
      <c r="N582" s="291"/>
      <c r="O582" s="292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</row>
    <row r="583" ht="14.25" customHeight="1">
      <c r="A583" s="32"/>
      <c r="B583" s="286"/>
      <c r="C583" s="286"/>
      <c r="D583" s="288"/>
      <c r="E583" s="289"/>
      <c r="F583" s="289"/>
      <c r="G583" s="289"/>
      <c r="H583" s="289"/>
      <c r="I583" s="289"/>
      <c r="J583" s="286"/>
      <c r="K583" s="290"/>
      <c r="L583" s="290"/>
      <c r="M583" s="286"/>
      <c r="N583" s="291"/>
      <c r="O583" s="292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</row>
    <row r="584" ht="14.25" customHeight="1">
      <c r="A584" s="32"/>
      <c r="B584" s="286"/>
      <c r="C584" s="286"/>
      <c r="D584" s="288"/>
      <c r="E584" s="289"/>
      <c r="F584" s="289"/>
      <c r="G584" s="289"/>
      <c r="H584" s="289"/>
      <c r="I584" s="289"/>
      <c r="J584" s="286"/>
      <c r="K584" s="290"/>
      <c r="L584" s="290"/>
      <c r="M584" s="286"/>
      <c r="N584" s="291"/>
      <c r="O584" s="292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</row>
    <row r="585" ht="14.25" customHeight="1">
      <c r="A585" s="32"/>
      <c r="B585" s="286"/>
      <c r="C585" s="286"/>
      <c r="D585" s="288"/>
      <c r="E585" s="289"/>
      <c r="F585" s="289"/>
      <c r="G585" s="289"/>
      <c r="H585" s="289"/>
      <c r="I585" s="289"/>
      <c r="J585" s="286"/>
      <c r="K585" s="290"/>
      <c r="L585" s="290"/>
      <c r="M585" s="286"/>
      <c r="N585" s="291"/>
      <c r="O585" s="292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</row>
    <row r="586" ht="14.25" customHeight="1">
      <c r="A586" s="32"/>
      <c r="B586" s="286"/>
      <c r="C586" s="286"/>
      <c r="D586" s="288"/>
      <c r="E586" s="289"/>
      <c r="F586" s="289"/>
      <c r="G586" s="289"/>
      <c r="H586" s="289"/>
      <c r="I586" s="289"/>
      <c r="J586" s="286"/>
      <c r="K586" s="290"/>
      <c r="L586" s="290"/>
      <c r="M586" s="286"/>
      <c r="N586" s="291"/>
      <c r="O586" s="292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</row>
    <row r="587" ht="14.25" customHeight="1">
      <c r="A587" s="32"/>
      <c r="B587" s="286"/>
      <c r="C587" s="286"/>
      <c r="D587" s="288"/>
      <c r="E587" s="289"/>
      <c r="F587" s="289"/>
      <c r="G587" s="289"/>
      <c r="H587" s="289"/>
      <c r="I587" s="289"/>
      <c r="J587" s="286"/>
      <c r="K587" s="290"/>
      <c r="L587" s="290"/>
      <c r="M587" s="286"/>
      <c r="N587" s="291"/>
      <c r="O587" s="292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</row>
    <row r="588" ht="14.25" customHeight="1">
      <c r="A588" s="32"/>
      <c r="B588" s="286"/>
      <c r="C588" s="286"/>
      <c r="D588" s="288"/>
      <c r="E588" s="289"/>
      <c r="F588" s="289"/>
      <c r="G588" s="289"/>
      <c r="H588" s="289"/>
      <c r="I588" s="289"/>
      <c r="J588" s="286"/>
      <c r="K588" s="290"/>
      <c r="L588" s="290"/>
      <c r="M588" s="286"/>
      <c r="N588" s="291"/>
      <c r="O588" s="292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</row>
    <row r="589" ht="14.25" customHeight="1">
      <c r="A589" s="32"/>
      <c r="B589" s="286"/>
      <c r="C589" s="286"/>
      <c r="D589" s="288"/>
      <c r="E589" s="289"/>
      <c r="F589" s="289"/>
      <c r="G589" s="289"/>
      <c r="H589" s="289"/>
      <c r="I589" s="289"/>
      <c r="J589" s="286"/>
      <c r="K589" s="290"/>
      <c r="L589" s="290"/>
      <c r="M589" s="286"/>
      <c r="N589" s="291"/>
      <c r="O589" s="292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</row>
    <row r="590" ht="14.25" customHeight="1">
      <c r="A590" s="32"/>
      <c r="B590" s="286"/>
      <c r="C590" s="286"/>
      <c r="D590" s="288"/>
      <c r="E590" s="289"/>
      <c r="F590" s="289"/>
      <c r="G590" s="289"/>
      <c r="H590" s="289"/>
      <c r="I590" s="289"/>
      <c r="J590" s="286"/>
      <c r="K590" s="290"/>
      <c r="L590" s="290"/>
      <c r="M590" s="286"/>
      <c r="N590" s="291"/>
      <c r="O590" s="292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</row>
    <row r="591" ht="14.25" customHeight="1">
      <c r="A591" s="32"/>
      <c r="B591" s="286"/>
      <c r="C591" s="286"/>
      <c r="D591" s="288"/>
      <c r="E591" s="289"/>
      <c r="F591" s="289"/>
      <c r="G591" s="289"/>
      <c r="H591" s="289"/>
      <c r="I591" s="289"/>
      <c r="J591" s="286"/>
      <c r="K591" s="290"/>
      <c r="L591" s="290"/>
      <c r="M591" s="286"/>
      <c r="N591" s="291"/>
      <c r="O591" s="292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</row>
    <row r="592" ht="14.25" customHeight="1">
      <c r="A592" s="32"/>
      <c r="B592" s="286"/>
      <c r="C592" s="286"/>
      <c r="D592" s="288"/>
      <c r="E592" s="289"/>
      <c r="F592" s="289"/>
      <c r="G592" s="289"/>
      <c r="H592" s="289"/>
      <c r="I592" s="289"/>
      <c r="J592" s="286"/>
      <c r="K592" s="290"/>
      <c r="L592" s="290"/>
      <c r="M592" s="286"/>
      <c r="N592" s="291"/>
      <c r="O592" s="292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</row>
    <row r="593" ht="14.25" customHeight="1">
      <c r="A593" s="32"/>
      <c r="B593" s="286"/>
      <c r="C593" s="286"/>
      <c r="D593" s="288"/>
      <c r="E593" s="289"/>
      <c r="F593" s="289"/>
      <c r="G593" s="289"/>
      <c r="H593" s="289"/>
      <c r="I593" s="289"/>
      <c r="J593" s="286"/>
      <c r="K593" s="290"/>
      <c r="L593" s="290"/>
      <c r="M593" s="286"/>
      <c r="N593" s="291"/>
      <c r="O593" s="292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</row>
    <row r="594" ht="14.25" customHeight="1">
      <c r="A594" s="32"/>
      <c r="B594" s="286"/>
      <c r="C594" s="286"/>
      <c r="D594" s="288"/>
      <c r="E594" s="289"/>
      <c r="F594" s="289"/>
      <c r="G594" s="289"/>
      <c r="H594" s="289"/>
      <c r="I594" s="289"/>
      <c r="J594" s="286"/>
      <c r="K594" s="290"/>
      <c r="L594" s="290"/>
      <c r="M594" s="286"/>
      <c r="N594" s="291"/>
      <c r="O594" s="292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</row>
    <row r="595" ht="14.25" customHeight="1">
      <c r="A595" s="32"/>
      <c r="B595" s="286"/>
      <c r="C595" s="286"/>
      <c r="D595" s="288"/>
      <c r="E595" s="289"/>
      <c r="F595" s="289"/>
      <c r="G595" s="289"/>
      <c r="H595" s="289"/>
      <c r="I595" s="289"/>
      <c r="J595" s="286"/>
      <c r="K595" s="290"/>
      <c r="L595" s="290"/>
      <c r="M595" s="286"/>
      <c r="N595" s="291"/>
      <c r="O595" s="292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</row>
    <row r="596" ht="14.25" customHeight="1">
      <c r="A596" s="32"/>
      <c r="B596" s="286"/>
      <c r="C596" s="286"/>
      <c r="D596" s="288"/>
      <c r="E596" s="289"/>
      <c r="F596" s="289"/>
      <c r="G596" s="289"/>
      <c r="H596" s="289"/>
      <c r="I596" s="289"/>
      <c r="J596" s="286"/>
      <c r="K596" s="290"/>
      <c r="L596" s="290"/>
      <c r="M596" s="286"/>
      <c r="N596" s="291"/>
      <c r="O596" s="292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</row>
    <row r="597" ht="14.25" customHeight="1">
      <c r="A597" s="32"/>
      <c r="B597" s="286"/>
      <c r="C597" s="286"/>
      <c r="D597" s="288"/>
      <c r="E597" s="289"/>
      <c r="F597" s="289"/>
      <c r="G597" s="289"/>
      <c r="H597" s="289"/>
      <c r="I597" s="289"/>
      <c r="J597" s="286"/>
      <c r="K597" s="290"/>
      <c r="L597" s="290"/>
      <c r="M597" s="286"/>
      <c r="N597" s="291"/>
      <c r="O597" s="292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</row>
    <row r="598" ht="14.25" customHeight="1">
      <c r="A598" s="32"/>
      <c r="B598" s="286"/>
      <c r="C598" s="286"/>
      <c r="D598" s="288"/>
      <c r="E598" s="289"/>
      <c r="F598" s="289"/>
      <c r="G598" s="289"/>
      <c r="H598" s="289"/>
      <c r="I598" s="289"/>
      <c r="J598" s="286"/>
      <c r="K598" s="290"/>
      <c r="L598" s="290"/>
      <c r="M598" s="286"/>
      <c r="N598" s="291"/>
      <c r="O598" s="292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</row>
    <row r="599" ht="14.25" customHeight="1">
      <c r="A599" s="32"/>
      <c r="B599" s="286"/>
      <c r="C599" s="286"/>
      <c r="D599" s="288"/>
      <c r="E599" s="289"/>
      <c r="F599" s="289"/>
      <c r="G599" s="289"/>
      <c r="H599" s="289"/>
      <c r="I599" s="289"/>
      <c r="J599" s="286"/>
      <c r="K599" s="290"/>
      <c r="L599" s="290"/>
      <c r="M599" s="286"/>
      <c r="N599" s="291"/>
      <c r="O599" s="292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</row>
    <row r="600" ht="14.25" customHeight="1">
      <c r="A600" s="32"/>
      <c r="B600" s="286"/>
      <c r="C600" s="286"/>
      <c r="D600" s="288"/>
      <c r="E600" s="289"/>
      <c r="F600" s="289"/>
      <c r="G600" s="289"/>
      <c r="H600" s="289"/>
      <c r="I600" s="289"/>
      <c r="J600" s="286"/>
      <c r="K600" s="290"/>
      <c r="L600" s="290"/>
      <c r="M600" s="286"/>
      <c r="N600" s="291"/>
      <c r="O600" s="292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</row>
    <row r="601" ht="14.25" customHeight="1">
      <c r="A601" s="32"/>
      <c r="B601" s="286"/>
      <c r="C601" s="286"/>
      <c r="D601" s="288"/>
      <c r="E601" s="289"/>
      <c r="F601" s="289"/>
      <c r="G601" s="289"/>
      <c r="H601" s="289"/>
      <c r="I601" s="289"/>
      <c r="J601" s="286"/>
      <c r="K601" s="290"/>
      <c r="L601" s="290"/>
      <c r="M601" s="286"/>
      <c r="N601" s="291"/>
      <c r="O601" s="292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</row>
    <row r="602" ht="14.25" customHeight="1">
      <c r="A602" s="32"/>
      <c r="B602" s="286"/>
      <c r="C602" s="286"/>
      <c r="D602" s="288"/>
      <c r="E602" s="289"/>
      <c r="F602" s="289"/>
      <c r="G602" s="289"/>
      <c r="H602" s="289"/>
      <c r="I602" s="289"/>
      <c r="J602" s="286"/>
      <c r="K602" s="290"/>
      <c r="L602" s="290"/>
      <c r="M602" s="286"/>
      <c r="N602" s="291"/>
      <c r="O602" s="292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</row>
    <row r="603" ht="14.25" customHeight="1">
      <c r="A603" s="32"/>
      <c r="B603" s="286"/>
      <c r="C603" s="286"/>
      <c r="D603" s="288"/>
      <c r="E603" s="289"/>
      <c r="F603" s="289"/>
      <c r="G603" s="289"/>
      <c r="H603" s="289"/>
      <c r="I603" s="289"/>
      <c r="J603" s="286"/>
      <c r="K603" s="290"/>
      <c r="L603" s="290"/>
      <c r="M603" s="286"/>
      <c r="N603" s="291"/>
      <c r="O603" s="292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</row>
    <row r="604" ht="14.25" customHeight="1">
      <c r="A604" s="32"/>
      <c r="B604" s="286"/>
      <c r="C604" s="286"/>
      <c r="D604" s="288"/>
      <c r="E604" s="289"/>
      <c r="F604" s="289"/>
      <c r="G604" s="289"/>
      <c r="H604" s="289"/>
      <c r="I604" s="289"/>
      <c r="J604" s="286"/>
      <c r="K604" s="290"/>
      <c r="L604" s="290"/>
      <c r="M604" s="286"/>
      <c r="N604" s="291"/>
      <c r="O604" s="292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</row>
    <row r="605" ht="14.25" customHeight="1">
      <c r="A605" s="32"/>
      <c r="B605" s="286"/>
      <c r="C605" s="286"/>
      <c r="D605" s="288"/>
      <c r="E605" s="289"/>
      <c r="F605" s="289"/>
      <c r="G605" s="289"/>
      <c r="H605" s="289"/>
      <c r="I605" s="289"/>
      <c r="J605" s="286"/>
      <c r="K605" s="290"/>
      <c r="L605" s="290"/>
      <c r="M605" s="286"/>
      <c r="N605" s="291"/>
      <c r="O605" s="292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</row>
    <row r="606" ht="14.25" customHeight="1">
      <c r="A606" s="32"/>
      <c r="B606" s="286"/>
      <c r="C606" s="286"/>
      <c r="D606" s="288"/>
      <c r="E606" s="289"/>
      <c r="F606" s="289"/>
      <c r="G606" s="289"/>
      <c r="H606" s="289"/>
      <c r="I606" s="289"/>
      <c r="J606" s="286"/>
      <c r="K606" s="290"/>
      <c r="L606" s="290"/>
      <c r="M606" s="286"/>
      <c r="N606" s="291"/>
      <c r="O606" s="292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</row>
    <row r="607" ht="14.25" customHeight="1">
      <c r="A607" s="32"/>
      <c r="B607" s="286"/>
      <c r="C607" s="286"/>
      <c r="D607" s="288"/>
      <c r="E607" s="289"/>
      <c r="F607" s="289"/>
      <c r="G607" s="289"/>
      <c r="H607" s="289"/>
      <c r="I607" s="289"/>
      <c r="J607" s="286"/>
      <c r="K607" s="290"/>
      <c r="L607" s="290"/>
      <c r="M607" s="286"/>
      <c r="N607" s="291"/>
      <c r="O607" s="292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</row>
    <row r="608" ht="14.25" customHeight="1">
      <c r="A608" s="32"/>
      <c r="B608" s="286"/>
      <c r="C608" s="286"/>
      <c r="D608" s="288"/>
      <c r="E608" s="289"/>
      <c r="F608" s="289"/>
      <c r="G608" s="289"/>
      <c r="H608" s="289"/>
      <c r="I608" s="289"/>
      <c r="J608" s="286"/>
      <c r="K608" s="290"/>
      <c r="L608" s="290"/>
      <c r="M608" s="286"/>
      <c r="N608" s="291"/>
      <c r="O608" s="292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</row>
    <row r="609" ht="14.25" customHeight="1">
      <c r="A609" s="32"/>
      <c r="B609" s="286"/>
      <c r="C609" s="286"/>
      <c r="D609" s="288"/>
      <c r="E609" s="289"/>
      <c r="F609" s="289"/>
      <c r="G609" s="289"/>
      <c r="H609" s="289"/>
      <c r="I609" s="289"/>
      <c r="J609" s="286"/>
      <c r="K609" s="290"/>
      <c r="L609" s="290"/>
      <c r="M609" s="286"/>
      <c r="N609" s="291"/>
      <c r="O609" s="292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</row>
    <row r="610" ht="14.25" customHeight="1">
      <c r="A610" s="32"/>
      <c r="B610" s="286"/>
      <c r="C610" s="286"/>
      <c r="D610" s="288"/>
      <c r="E610" s="289"/>
      <c r="F610" s="289"/>
      <c r="G610" s="289"/>
      <c r="H610" s="289"/>
      <c r="I610" s="289"/>
      <c r="J610" s="286"/>
      <c r="K610" s="290"/>
      <c r="L610" s="290"/>
      <c r="M610" s="286"/>
      <c r="N610" s="291"/>
      <c r="O610" s="292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</row>
    <row r="611" ht="14.25" customHeight="1">
      <c r="A611" s="32"/>
      <c r="B611" s="286"/>
      <c r="C611" s="286"/>
      <c r="D611" s="288"/>
      <c r="E611" s="289"/>
      <c r="F611" s="289"/>
      <c r="G611" s="289"/>
      <c r="H611" s="289"/>
      <c r="I611" s="289"/>
      <c r="J611" s="286"/>
      <c r="K611" s="290"/>
      <c r="L611" s="290"/>
      <c r="M611" s="286"/>
      <c r="N611" s="291"/>
      <c r="O611" s="292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</row>
    <row r="612" ht="14.25" customHeight="1">
      <c r="A612" s="32"/>
      <c r="B612" s="286"/>
      <c r="C612" s="286"/>
      <c r="D612" s="288"/>
      <c r="E612" s="289"/>
      <c r="F612" s="289"/>
      <c r="G612" s="289"/>
      <c r="H612" s="289"/>
      <c r="I612" s="289"/>
      <c r="J612" s="286"/>
      <c r="K612" s="290"/>
      <c r="L612" s="290"/>
      <c r="M612" s="286"/>
      <c r="N612" s="291"/>
      <c r="O612" s="292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</row>
    <row r="613" ht="14.25" customHeight="1">
      <c r="A613" s="32"/>
      <c r="B613" s="286"/>
      <c r="C613" s="286"/>
      <c r="D613" s="288"/>
      <c r="E613" s="289"/>
      <c r="F613" s="289"/>
      <c r="G613" s="289"/>
      <c r="H613" s="289"/>
      <c r="I613" s="289"/>
      <c r="J613" s="286"/>
      <c r="K613" s="290"/>
      <c r="L613" s="290"/>
      <c r="M613" s="286"/>
      <c r="N613" s="291"/>
      <c r="O613" s="292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</row>
    <row r="614" ht="14.25" customHeight="1">
      <c r="A614" s="32"/>
      <c r="B614" s="286"/>
      <c r="C614" s="286"/>
      <c r="D614" s="288"/>
      <c r="E614" s="289"/>
      <c r="F614" s="289"/>
      <c r="G614" s="289"/>
      <c r="H614" s="289"/>
      <c r="I614" s="289"/>
      <c r="J614" s="286"/>
      <c r="K614" s="290"/>
      <c r="L614" s="290"/>
      <c r="M614" s="286"/>
      <c r="N614" s="291"/>
      <c r="O614" s="292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</row>
    <row r="615" ht="14.25" customHeight="1">
      <c r="A615" s="32"/>
      <c r="B615" s="286"/>
      <c r="C615" s="286"/>
      <c r="D615" s="288"/>
      <c r="E615" s="289"/>
      <c r="F615" s="289"/>
      <c r="G615" s="289"/>
      <c r="H615" s="289"/>
      <c r="I615" s="289"/>
      <c r="J615" s="286"/>
      <c r="K615" s="290"/>
      <c r="L615" s="290"/>
      <c r="M615" s="286"/>
      <c r="N615" s="291"/>
      <c r="O615" s="292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</row>
    <row r="616" ht="14.25" customHeight="1">
      <c r="A616" s="32"/>
      <c r="B616" s="286"/>
      <c r="C616" s="286"/>
      <c r="D616" s="288"/>
      <c r="E616" s="289"/>
      <c r="F616" s="289"/>
      <c r="G616" s="289"/>
      <c r="H616" s="289"/>
      <c r="I616" s="289"/>
      <c r="J616" s="286"/>
      <c r="K616" s="290"/>
      <c r="L616" s="290"/>
      <c r="M616" s="286"/>
      <c r="N616" s="291"/>
      <c r="O616" s="292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</row>
    <row r="617" ht="14.25" customHeight="1">
      <c r="A617" s="32"/>
      <c r="B617" s="286"/>
      <c r="C617" s="286"/>
      <c r="D617" s="288"/>
      <c r="E617" s="289"/>
      <c r="F617" s="289"/>
      <c r="G617" s="289"/>
      <c r="H617" s="289"/>
      <c r="I617" s="289"/>
      <c r="J617" s="286"/>
      <c r="K617" s="290"/>
      <c r="L617" s="290"/>
      <c r="M617" s="286"/>
      <c r="N617" s="291"/>
      <c r="O617" s="292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</row>
    <row r="618" ht="14.25" customHeight="1">
      <c r="A618" s="32"/>
      <c r="B618" s="286"/>
      <c r="C618" s="286"/>
      <c r="D618" s="288"/>
      <c r="E618" s="289"/>
      <c r="F618" s="289"/>
      <c r="G618" s="289"/>
      <c r="H618" s="289"/>
      <c r="I618" s="289"/>
      <c r="J618" s="286"/>
      <c r="K618" s="290"/>
      <c r="L618" s="290"/>
      <c r="M618" s="286"/>
      <c r="N618" s="291"/>
      <c r="O618" s="292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</row>
    <row r="619" ht="14.25" customHeight="1">
      <c r="A619" s="32"/>
      <c r="B619" s="286"/>
      <c r="C619" s="286"/>
      <c r="D619" s="288"/>
      <c r="E619" s="289"/>
      <c r="F619" s="289"/>
      <c r="G619" s="289"/>
      <c r="H619" s="289"/>
      <c r="I619" s="289"/>
      <c r="J619" s="286"/>
      <c r="K619" s="290"/>
      <c r="L619" s="290"/>
      <c r="M619" s="286"/>
      <c r="N619" s="291"/>
      <c r="O619" s="292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</row>
    <row r="620" ht="14.25" customHeight="1">
      <c r="A620" s="32"/>
      <c r="B620" s="286"/>
      <c r="C620" s="286"/>
      <c r="D620" s="288"/>
      <c r="E620" s="289"/>
      <c r="F620" s="289"/>
      <c r="G620" s="289"/>
      <c r="H620" s="289"/>
      <c r="I620" s="289"/>
      <c r="J620" s="286"/>
      <c r="K620" s="290"/>
      <c r="L620" s="290"/>
      <c r="M620" s="286"/>
      <c r="N620" s="291"/>
      <c r="O620" s="292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</row>
    <row r="621" ht="14.25" customHeight="1">
      <c r="A621" s="32"/>
      <c r="B621" s="286"/>
      <c r="C621" s="286"/>
      <c r="D621" s="288"/>
      <c r="E621" s="289"/>
      <c r="F621" s="289"/>
      <c r="G621" s="289"/>
      <c r="H621" s="289"/>
      <c r="I621" s="289"/>
      <c r="J621" s="286"/>
      <c r="K621" s="290"/>
      <c r="L621" s="290"/>
      <c r="M621" s="286"/>
      <c r="N621" s="291"/>
      <c r="O621" s="292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</row>
    <row r="622" ht="14.25" customHeight="1">
      <c r="A622" s="32"/>
      <c r="B622" s="286"/>
      <c r="C622" s="286"/>
      <c r="D622" s="288"/>
      <c r="E622" s="289"/>
      <c r="F622" s="289"/>
      <c r="G622" s="289"/>
      <c r="H622" s="289"/>
      <c r="I622" s="289"/>
      <c r="J622" s="286"/>
      <c r="K622" s="290"/>
      <c r="L622" s="290"/>
      <c r="M622" s="286"/>
      <c r="N622" s="291"/>
      <c r="O622" s="292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</row>
    <row r="623" ht="14.25" customHeight="1">
      <c r="A623" s="32"/>
      <c r="B623" s="286"/>
      <c r="C623" s="286"/>
      <c r="D623" s="288"/>
      <c r="E623" s="289"/>
      <c r="F623" s="289"/>
      <c r="G623" s="289"/>
      <c r="H623" s="289"/>
      <c r="I623" s="289"/>
      <c r="J623" s="286"/>
      <c r="K623" s="290"/>
      <c r="L623" s="290"/>
      <c r="M623" s="286"/>
      <c r="N623" s="291"/>
      <c r="O623" s="292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</row>
    <row r="624" ht="14.25" customHeight="1">
      <c r="A624" s="32"/>
      <c r="B624" s="286"/>
      <c r="C624" s="286"/>
      <c r="D624" s="288"/>
      <c r="E624" s="289"/>
      <c r="F624" s="289"/>
      <c r="G624" s="289"/>
      <c r="H624" s="289"/>
      <c r="I624" s="289"/>
      <c r="J624" s="286"/>
      <c r="K624" s="290"/>
      <c r="L624" s="290"/>
      <c r="M624" s="286"/>
      <c r="N624" s="291"/>
      <c r="O624" s="292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</row>
    <row r="625" ht="14.25" customHeight="1">
      <c r="A625" s="32"/>
      <c r="B625" s="286"/>
      <c r="C625" s="286"/>
      <c r="D625" s="288"/>
      <c r="E625" s="289"/>
      <c r="F625" s="289"/>
      <c r="G625" s="289"/>
      <c r="H625" s="289"/>
      <c r="I625" s="289"/>
      <c r="J625" s="286"/>
      <c r="K625" s="290"/>
      <c r="L625" s="290"/>
      <c r="M625" s="286"/>
      <c r="N625" s="291"/>
      <c r="O625" s="292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</row>
    <row r="626" ht="14.25" customHeight="1">
      <c r="A626" s="32"/>
      <c r="B626" s="286"/>
      <c r="C626" s="286"/>
      <c r="D626" s="288"/>
      <c r="E626" s="289"/>
      <c r="F626" s="289"/>
      <c r="G626" s="289"/>
      <c r="H626" s="289"/>
      <c r="I626" s="289"/>
      <c r="J626" s="286"/>
      <c r="K626" s="290"/>
      <c r="L626" s="290"/>
      <c r="M626" s="286"/>
      <c r="N626" s="291"/>
      <c r="O626" s="292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</row>
    <row r="627" ht="14.25" customHeight="1">
      <c r="A627" s="32"/>
      <c r="B627" s="286"/>
      <c r="C627" s="286"/>
      <c r="D627" s="288"/>
      <c r="E627" s="289"/>
      <c r="F627" s="289"/>
      <c r="G627" s="289"/>
      <c r="H627" s="289"/>
      <c r="I627" s="289"/>
      <c r="J627" s="286"/>
      <c r="K627" s="290"/>
      <c r="L627" s="290"/>
      <c r="M627" s="286"/>
      <c r="N627" s="291"/>
      <c r="O627" s="292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</row>
    <row r="628" ht="14.25" customHeight="1">
      <c r="A628" s="32"/>
      <c r="B628" s="286"/>
      <c r="C628" s="286"/>
      <c r="D628" s="288"/>
      <c r="E628" s="289"/>
      <c r="F628" s="289"/>
      <c r="G628" s="289"/>
      <c r="H628" s="289"/>
      <c r="I628" s="289"/>
      <c r="J628" s="286"/>
      <c r="K628" s="290"/>
      <c r="L628" s="290"/>
      <c r="M628" s="286"/>
      <c r="N628" s="291"/>
      <c r="O628" s="292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</row>
    <row r="629" ht="14.25" customHeight="1">
      <c r="A629" s="32"/>
      <c r="B629" s="286"/>
      <c r="C629" s="286"/>
      <c r="D629" s="288"/>
      <c r="E629" s="289"/>
      <c r="F629" s="289"/>
      <c r="G629" s="289"/>
      <c r="H629" s="289"/>
      <c r="I629" s="289"/>
      <c r="J629" s="286"/>
      <c r="K629" s="290"/>
      <c r="L629" s="290"/>
      <c r="M629" s="286"/>
      <c r="N629" s="291"/>
      <c r="O629" s="292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</row>
    <row r="630" ht="14.25" customHeight="1">
      <c r="A630" s="32"/>
      <c r="B630" s="286"/>
      <c r="C630" s="286"/>
      <c r="D630" s="288"/>
      <c r="E630" s="289"/>
      <c r="F630" s="289"/>
      <c r="G630" s="289"/>
      <c r="H630" s="289"/>
      <c r="I630" s="289"/>
      <c r="J630" s="286"/>
      <c r="K630" s="290"/>
      <c r="L630" s="290"/>
      <c r="M630" s="286"/>
      <c r="N630" s="291"/>
      <c r="O630" s="292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</row>
    <row r="631" ht="14.25" customHeight="1">
      <c r="A631" s="32"/>
      <c r="B631" s="286"/>
      <c r="C631" s="286"/>
      <c r="D631" s="288"/>
      <c r="E631" s="289"/>
      <c r="F631" s="289"/>
      <c r="G631" s="289"/>
      <c r="H631" s="289"/>
      <c r="I631" s="289"/>
      <c r="J631" s="286"/>
      <c r="K631" s="290"/>
      <c r="L631" s="290"/>
      <c r="M631" s="286"/>
      <c r="N631" s="291"/>
      <c r="O631" s="292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</row>
    <row r="632" ht="14.25" customHeight="1">
      <c r="A632" s="32"/>
      <c r="B632" s="286"/>
      <c r="C632" s="286"/>
      <c r="D632" s="288"/>
      <c r="E632" s="289"/>
      <c r="F632" s="289"/>
      <c r="G632" s="289"/>
      <c r="H632" s="289"/>
      <c r="I632" s="289"/>
      <c r="J632" s="286"/>
      <c r="K632" s="290"/>
      <c r="L632" s="290"/>
      <c r="M632" s="286"/>
      <c r="N632" s="291"/>
      <c r="O632" s="292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</row>
    <row r="633" ht="14.25" customHeight="1">
      <c r="A633" s="32"/>
      <c r="B633" s="286"/>
      <c r="C633" s="286"/>
      <c r="D633" s="288"/>
      <c r="E633" s="289"/>
      <c r="F633" s="289"/>
      <c r="G633" s="289"/>
      <c r="H633" s="289"/>
      <c r="I633" s="289"/>
      <c r="J633" s="286"/>
      <c r="K633" s="290"/>
      <c r="L633" s="290"/>
      <c r="M633" s="286"/>
      <c r="N633" s="291"/>
      <c r="O633" s="292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</row>
    <row r="634" ht="14.25" customHeight="1">
      <c r="A634" s="32"/>
      <c r="B634" s="286"/>
      <c r="C634" s="286"/>
      <c r="D634" s="288"/>
      <c r="E634" s="289"/>
      <c r="F634" s="289"/>
      <c r="G634" s="289"/>
      <c r="H634" s="289"/>
      <c r="I634" s="289"/>
      <c r="J634" s="286"/>
      <c r="K634" s="290"/>
      <c r="L634" s="290"/>
      <c r="M634" s="286"/>
      <c r="N634" s="291"/>
      <c r="O634" s="292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</row>
    <row r="635" ht="14.25" customHeight="1">
      <c r="A635" s="32"/>
      <c r="B635" s="286"/>
      <c r="C635" s="286"/>
      <c r="D635" s="288"/>
      <c r="E635" s="289"/>
      <c r="F635" s="289"/>
      <c r="G635" s="289"/>
      <c r="H635" s="289"/>
      <c r="I635" s="289"/>
      <c r="J635" s="286"/>
      <c r="K635" s="290"/>
      <c r="L635" s="290"/>
      <c r="M635" s="286"/>
      <c r="N635" s="291"/>
      <c r="O635" s="292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</row>
    <row r="636" ht="14.25" customHeight="1">
      <c r="A636" s="32"/>
      <c r="B636" s="286"/>
      <c r="C636" s="286"/>
      <c r="D636" s="288"/>
      <c r="E636" s="289"/>
      <c r="F636" s="289"/>
      <c r="G636" s="289"/>
      <c r="H636" s="289"/>
      <c r="I636" s="289"/>
      <c r="J636" s="286"/>
      <c r="K636" s="290"/>
      <c r="L636" s="290"/>
      <c r="M636" s="286"/>
      <c r="N636" s="291"/>
      <c r="O636" s="292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</row>
    <row r="637" ht="14.25" customHeight="1">
      <c r="A637" s="32"/>
      <c r="B637" s="286"/>
      <c r="C637" s="286"/>
      <c r="D637" s="288"/>
      <c r="E637" s="289"/>
      <c r="F637" s="289"/>
      <c r="G637" s="289"/>
      <c r="H637" s="289"/>
      <c r="I637" s="289"/>
      <c r="J637" s="286"/>
      <c r="K637" s="290"/>
      <c r="L637" s="290"/>
      <c r="M637" s="286"/>
      <c r="N637" s="291"/>
      <c r="O637" s="292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</row>
    <row r="638" ht="14.25" customHeight="1">
      <c r="A638" s="32"/>
      <c r="B638" s="286"/>
      <c r="C638" s="286"/>
      <c r="D638" s="288"/>
      <c r="E638" s="289"/>
      <c r="F638" s="289"/>
      <c r="G638" s="289"/>
      <c r="H638" s="289"/>
      <c r="I638" s="289"/>
      <c r="J638" s="286"/>
      <c r="K638" s="290"/>
      <c r="L638" s="290"/>
      <c r="M638" s="286"/>
      <c r="N638" s="291"/>
      <c r="O638" s="292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</row>
    <row r="639" ht="14.25" customHeight="1">
      <c r="A639" s="32"/>
      <c r="B639" s="286"/>
      <c r="C639" s="286"/>
      <c r="D639" s="288"/>
      <c r="E639" s="289"/>
      <c r="F639" s="289"/>
      <c r="G639" s="289"/>
      <c r="H639" s="289"/>
      <c r="I639" s="289"/>
      <c r="J639" s="286"/>
      <c r="K639" s="290"/>
      <c r="L639" s="290"/>
      <c r="M639" s="286"/>
      <c r="N639" s="291"/>
      <c r="O639" s="292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</row>
    <row r="640" ht="14.25" customHeight="1">
      <c r="A640" s="32"/>
      <c r="B640" s="286"/>
      <c r="C640" s="286"/>
      <c r="D640" s="288"/>
      <c r="E640" s="289"/>
      <c r="F640" s="289"/>
      <c r="G640" s="289"/>
      <c r="H640" s="289"/>
      <c r="I640" s="289"/>
      <c r="J640" s="286"/>
      <c r="K640" s="290"/>
      <c r="L640" s="290"/>
      <c r="M640" s="286"/>
      <c r="N640" s="291"/>
      <c r="O640" s="292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</row>
    <row r="641" ht="14.25" customHeight="1">
      <c r="A641" s="32"/>
      <c r="B641" s="286"/>
      <c r="C641" s="286"/>
      <c r="D641" s="288"/>
      <c r="E641" s="289"/>
      <c r="F641" s="289"/>
      <c r="G641" s="289"/>
      <c r="H641" s="289"/>
      <c r="I641" s="289"/>
      <c r="J641" s="286"/>
      <c r="K641" s="290"/>
      <c r="L641" s="290"/>
      <c r="M641" s="286"/>
      <c r="N641" s="291"/>
      <c r="O641" s="292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</row>
    <row r="642" ht="14.25" customHeight="1">
      <c r="A642" s="32"/>
      <c r="B642" s="286"/>
      <c r="C642" s="286"/>
      <c r="D642" s="288"/>
      <c r="E642" s="289"/>
      <c r="F642" s="289"/>
      <c r="G642" s="289"/>
      <c r="H642" s="289"/>
      <c r="I642" s="289"/>
      <c r="J642" s="286"/>
      <c r="K642" s="290"/>
      <c r="L642" s="290"/>
      <c r="M642" s="286"/>
      <c r="N642" s="291"/>
      <c r="O642" s="292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</row>
    <row r="643" ht="14.25" customHeight="1">
      <c r="A643" s="32"/>
      <c r="B643" s="286"/>
      <c r="C643" s="286"/>
      <c r="D643" s="288"/>
      <c r="E643" s="289"/>
      <c r="F643" s="289"/>
      <c r="G643" s="289"/>
      <c r="H643" s="289"/>
      <c r="I643" s="289"/>
      <c r="J643" s="286"/>
      <c r="K643" s="290"/>
      <c r="L643" s="290"/>
      <c r="M643" s="286"/>
      <c r="N643" s="291"/>
      <c r="O643" s="292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</row>
    <row r="644" ht="14.25" customHeight="1">
      <c r="A644" s="32"/>
      <c r="B644" s="286"/>
      <c r="C644" s="286"/>
      <c r="D644" s="288"/>
      <c r="E644" s="289"/>
      <c r="F644" s="289"/>
      <c r="G644" s="289"/>
      <c r="H644" s="289"/>
      <c r="I644" s="289"/>
      <c r="J644" s="286"/>
      <c r="K644" s="290"/>
      <c r="L644" s="290"/>
      <c r="M644" s="286"/>
      <c r="N644" s="291"/>
      <c r="O644" s="292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</row>
    <row r="645" ht="14.25" customHeight="1">
      <c r="A645" s="32"/>
      <c r="B645" s="286"/>
      <c r="C645" s="286"/>
      <c r="D645" s="288"/>
      <c r="E645" s="289"/>
      <c r="F645" s="289"/>
      <c r="G645" s="289"/>
      <c r="H645" s="289"/>
      <c r="I645" s="289"/>
      <c r="J645" s="286"/>
      <c r="K645" s="290"/>
      <c r="L645" s="290"/>
      <c r="M645" s="286"/>
      <c r="N645" s="291"/>
      <c r="O645" s="292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</row>
    <row r="646" ht="14.25" customHeight="1">
      <c r="A646" s="32"/>
      <c r="B646" s="286"/>
      <c r="C646" s="286"/>
      <c r="D646" s="288"/>
      <c r="E646" s="289"/>
      <c r="F646" s="289"/>
      <c r="G646" s="289"/>
      <c r="H646" s="289"/>
      <c r="I646" s="289"/>
      <c r="J646" s="286"/>
      <c r="K646" s="290"/>
      <c r="L646" s="290"/>
      <c r="M646" s="286"/>
      <c r="N646" s="291"/>
      <c r="O646" s="292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</row>
    <row r="647" ht="14.25" customHeight="1">
      <c r="A647" s="32"/>
      <c r="B647" s="286"/>
      <c r="C647" s="286"/>
      <c r="D647" s="288"/>
      <c r="E647" s="289"/>
      <c r="F647" s="289"/>
      <c r="G647" s="289"/>
      <c r="H647" s="289"/>
      <c r="I647" s="289"/>
      <c r="J647" s="286"/>
      <c r="K647" s="290"/>
      <c r="L647" s="290"/>
      <c r="M647" s="286"/>
      <c r="N647" s="291"/>
      <c r="O647" s="292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</row>
    <row r="648" ht="14.25" customHeight="1">
      <c r="A648" s="32"/>
      <c r="B648" s="286"/>
      <c r="C648" s="286"/>
      <c r="D648" s="288"/>
      <c r="E648" s="289"/>
      <c r="F648" s="289"/>
      <c r="G648" s="289"/>
      <c r="H648" s="289"/>
      <c r="I648" s="289"/>
      <c r="J648" s="286"/>
      <c r="K648" s="290"/>
      <c r="L648" s="290"/>
      <c r="M648" s="286"/>
      <c r="N648" s="291"/>
      <c r="O648" s="292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</row>
    <row r="649" ht="14.25" customHeight="1">
      <c r="A649" s="32"/>
      <c r="B649" s="286"/>
      <c r="C649" s="286"/>
      <c r="D649" s="288"/>
      <c r="E649" s="289"/>
      <c r="F649" s="289"/>
      <c r="G649" s="289"/>
      <c r="H649" s="289"/>
      <c r="I649" s="289"/>
      <c r="J649" s="286"/>
      <c r="K649" s="290"/>
      <c r="L649" s="290"/>
      <c r="M649" s="286"/>
      <c r="N649" s="291"/>
      <c r="O649" s="292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</row>
    <row r="650" ht="14.25" customHeight="1">
      <c r="A650" s="32"/>
      <c r="B650" s="286"/>
      <c r="C650" s="286"/>
      <c r="D650" s="288"/>
      <c r="E650" s="289"/>
      <c r="F650" s="289"/>
      <c r="G650" s="289"/>
      <c r="H650" s="289"/>
      <c r="I650" s="289"/>
      <c r="J650" s="286"/>
      <c r="K650" s="290"/>
      <c r="L650" s="290"/>
      <c r="M650" s="286"/>
      <c r="N650" s="291"/>
      <c r="O650" s="292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</row>
    <row r="651" ht="14.25" customHeight="1">
      <c r="A651" s="32"/>
      <c r="B651" s="286"/>
      <c r="C651" s="286"/>
      <c r="D651" s="288"/>
      <c r="E651" s="289"/>
      <c r="F651" s="289"/>
      <c r="G651" s="289"/>
      <c r="H651" s="289"/>
      <c r="I651" s="289"/>
      <c r="J651" s="286"/>
      <c r="K651" s="290"/>
      <c r="L651" s="290"/>
      <c r="M651" s="286"/>
      <c r="N651" s="291"/>
      <c r="O651" s="292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</row>
    <row r="652" ht="14.25" customHeight="1">
      <c r="A652" s="32"/>
      <c r="B652" s="286"/>
      <c r="C652" s="286"/>
      <c r="D652" s="288"/>
      <c r="E652" s="289"/>
      <c r="F652" s="289"/>
      <c r="G652" s="289"/>
      <c r="H652" s="289"/>
      <c r="I652" s="289"/>
      <c r="J652" s="286"/>
      <c r="K652" s="290"/>
      <c r="L652" s="290"/>
      <c r="M652" s="286"/>
      <c r="N652" s="291"/>
      <c r="O652" s="292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</row>
    <row r="653" ht="14.25" customHeight="1">
      <c r="A653" s="32"/>
      <c r="B653" s="286"/>
      <c r="C653" s="286"/>
      <c r="D653" s="288"/>
      <c r="E653" s="289"/>
      <c r="F653" s="289"/>
      <c r="G653" s="289"/>
      <c r="H653" s="289"/>
      <c r="I653" s="289"/>
      <c r="J653" s="286"/>
      <c r="K653" s="290"/>
      <c r="L653" s="290"/>
      <c r="M653" s="286"/>
      <c r="N653" s="291"/>
      <c r="O653" s="292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</row>
    <row r="654" ht="14.25" customHeight="1">
      <c r="A654" s="32"/>
      <c r="B654" s="286"/>
      <c r="C654" s="286"/>
      <c r="D654" s="288"/>
      <c r="E654" s="289"/>
      <c r="F654" s="289"/>
      <c r="G654" s="289"/>
      <c r="H654" s="289"/>
      <c r="I654" s="289"/>
      <c r="J654" s="286"/>
      <c r="K654" s="290"/>
      <c r="L654" s="290"/>
      <c r="M654" s="286"/>
      <c r="N654" s="291"/>
      <c r="O654" s="292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</row>
    <row r="655" ht="14.25" customHeight="1">
      <c r="A655" s="32"/>
      <c r="B655" s="286"/>
      <c r="C655" s="286"/>
      <c r="D655" s="288"/>
      <c r="E655" s="289"/>
      <c r="F655" s="289"/>
      <c r="G655" s="289"/>
      <c r="H655" s="289"/>
      <c r="I655" s="289"/>
      <c r="J655" s="286"/>
      <c r="K655" s="290"/>
      <c r="L655" s="290"/>
      <c r="M655" s="286"/>
      <c r="N655" s="291"/>
      <c r="O655" s="292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</row>
    <row r="656" ht="14.25" customHeight="1">
      <c r="A656" s="32"/>
      <c r="B656" s="286"/>
      <c r="C656" s="286"/>
      <c r="D656" s="288"/>
      <c r="E656" s="289"/>
      <c r="F656" s="289"/>
      <c r="G656" s="289"/>
      <c r="H656" s="289"/>
      <c r="I656" s="289"/>
      <c r="J656" s="286"/>
      <c r="K656" s="290"/>
      <c r="L656" s="290"/>
      <c r="M656" s="286"/>
      <c r="N656" s="291"/>
      <c r="O656" s="292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</row>
    <row r="657" ht="14.25" customHeight="1">
      <c r="A657" s="385"/>
      <c r="D657" s="386"/>
      <c r="E657" s="387"/>
      <c r="F657" s="387"/>
      <c r="G657" s="387"/>
      <c r="H657" s="387"/>
      <c r="I657" s="387"/>
      <c r="K657" s="388"/>
      <c r="L657" s="388"/>
      <c r="N657" s="167"/>
      <c r="O657" s="3"/>
    </row>
    <row r="658" ht="14.25" customHeight="1">
      <c r="A658" s="8"/>
      <c r="D658" s="386"/>
      <c r="E658" s="387"/>
      <c r="F658" s="387"/>
      <c r="G658" s="387"/>
      <c r="H658" s="387"/>
      <c r="I658" s="387"/>
      <c r="K658" s="388"/>
      <c r="L658" s="388"/>
      <c r="N658" s="1"/>
      <c r="O658" s="3"/>
    </row>
    <row r="659" ht="14.25" customHeight="1">
      <c r="A659" s="8"/>
      <c r="D659" s="386"/>
      <c r="E659" s="387"/>
      <c r="F659" s="387"/>
      <c r="G659" s="387"/>
      <c r="H659" s="387"/>
      <c r="I659" s="387"/>
      <c r="K659" s="388"/>
      <c r="L659" s="388"/>
      <c r="N659" s="1"/>
      <c r="O659" s="3"/>
    </row>
    <row r="660" ht="14.25" customHeight="1">
      <c r="A660" s="8"/>
      <c r="D660" s="386"/>
      <c r="E660" s="387"/>
      <c r="F660" s="387"/>
      <c r="G660" s="387"/>
      <c r="H660" s="387"/>
      <c r="I660" s="387"/>
      <c r="K660" s="388"/>
      <c r="L660" s="388"/>
      <c r="N660" s="1"/>
      <c r="O660" s="3"/>
    </row>
    <row r="661" ht="14.25" customHeight="1">
      <c r="A661" s="8"/>
      <c r="D661" s="386"/>
      <c r="E661" s="387"/>
      <c r="F661" s="387"/>
      <c r="G661" s="387"/>
      <c r="H661" s="387"/>
      <c r="I661" s="387"/>
      <c r="K661" s="388"/>
      <c r="L661" s="388"/>
      <c r="N661" s="1"/>
      <c r="O661" s="3"/>
    </row>
    <row r="662" ht="14.25" customHeight="1">
      <c r="A662" s="8"/>
      <c r="D662" s="386"/>
      <c r="E662" s="387"/>
      <c r="F662" s="387"/>
      <c r="G662" s="387"/>
      <c r="H662" s="387"/>
      <c r="I662" s="387"/>
      <c r="K662" s="388"/>
      <c r="L662" s="388"/>
      <c r="N662" s="1"/>
      <c r="O662" s="3"/>
    </row>
    <row r="663" ht="14.25" customHeight="1">
      <c r="A663" s="8"/>
      <c r="D663" s="386"/>
      <c r="E663" s="387"/>
      <c r="F663" s="387"/>
      <c r="G663" s="387"/>
      <c r="H663" s="387"/>
      <c r="I663" s="387"/>
      <c r="K663" s="388"/>
      <c r="L663" s="388"/>
      <c r="N663" s="1"/>
      <c r="O663" s="3"/>
    </row>
    <row r="664" ht="14.25" customHeight="1">
      <c r="A664" s="8"/>
      <c r="D664" s="386"/>
      <c r="E664" s="387"/>
      <c r="F664" s="387"/>
      <c r="G664" s="387"/>
      <c r="H664" s="387"/>
      <c r="I664" s="387"/>
      <c r="K664" s="388"/>
      <c r="L664" s="388"/>
      <c r="N664" s="1"/>
      <c r="O664" s="3"/>
    </row>
    <row r="665" ht="14.25" customHeight="1">
      <c r="A665" s="8"/>
      <c r="D665" s="386"/>
      <c r="E665" s="387"/>
      <c r="F665" s="387"/>
      <c r="G665" s="387"/>
      <c r="H665" s="387"/>
      <c r="I665" s="387"/>
      <c r="K665" s="388"/>
      <c r="L665" s="388"/>
      <c r="N665" s="1"/>
      <c r="O665" s="3"/>
    </row>
    <row r="666" ht="14.25" customHeight="1">
      <c r="A666" s="8"/>
      <c r="D666" s="386"/>
      <c r="E666" s="387"/>
      <c r="F666" s="387"/>
      <c r="G666" s="387"/>
      <c r="H666" s="387"/>
      <c r="I666" s="387"/>
      <c r="K666" s="388"/>
      <c r="L666" s="388"/>
      <c r="N666" s="1"/>
      <c r="O666" s="3"/>
    </row>
    <row r="667" ht="14.25" customHeight="1">
      <c r="A667" s="8"/>
      <c r="D667" s="386"/>
      <c r="E667" s="387"/>
      <c r="F667" s="387"/>
      <c r="G667" s="387"/>
      <c r="H667" s="387"/>
      <c r="I667" s="387"/>
      <c r="K667" s="388"/>
      <c r="L667" s="388"/>
      <c r="N667" s="1"/>
      <c r="O667" s="3"/>
    </row>
    <row r="668" ht="14.25" customHeight="1">
      <c r="A668" s="8"/>
      <c r="D668" s="386"/>
      <c r="E668" s="387"/>
      <c r="F668" s="387"/>
      <c r="G668" s="387"/>
      <c r="H668" s="387"/>
      <c r="I668" s="387"/>
      <c r="K668" s="388"/>
      <c r="L668" s="388"/>
      <c r="N668" s="1"/>
      <c r="O668" s="3"/>
    </row>
    <row r="669" ht="14.25" customHeight="1">
      <c r="A669" s="8"/>
      <c r="D669" s="386"/>
      <c r="E669" s="387"/>
      <c r="F669" s="387"/>
      <c r="G669" s="387"/>
      <c r="H669" s="387"/>
      <c r="I669" s="387"/>
      <c r="K669" s="388"/>
      <c r="L669" s="388"/>
      <c r="N669" s="1"/>
      <c r="O669" s="3"/>
    </row>
    <row r="670" ht="14.25" customHeight="1">
      <c r="A670" s="8"/>
      <c r="D670" s="386"/>
      <c r="E670" s="387"/>
      <c r="F670" s="387"/>
      <c r="G670" s="387"/>
      <c r="H670" s="387"/>
      <c r="I670" s="387"/>
      <c r="K670" s="388"/>
      <c r="L670" s="388"/>
      <c r="N670" s="1"/>
      <c r="O670" s="3"/>
    </row>
    <row r="671" ht="14.25" customHeight="1">
      <c r="A671" s="8"/>
      <c r="D671" s="386"/>
      <c r="E671" s="387"/>
      <c r="F671" s="387"/>
      <c r="G671" s="387"/>
      <c r="H671" s="387"/>
      <c r="I671" s="387"/>
      <c r="K671" s="388"/>
      <c r="L671" s="388"/>
      <c r="N671" s="1"/>
      <c r="O671" s="3"/>
    </row>
    <row r="672" ht="14.25" customHeight="1">
      <c r="A672" s="8"/>
      <c r="D672" s="386"/>
      <c r="E672" s="387"/>
      <c r="F672" s="387"/>
      <c r="G672" s="387"/>
      <c r="H672" s="387"/>
      <c r="I672" s="387"/>
      <c r="K672" s="388"/>
      <c r="L672" s="388"/>
      <c r="N672" s="1"/>
      <c r="O672" s="3"/>
    </row>
    <row r="673" ht="14.25" customHeight="1">
      <c r="A673" s="8"/>
      <c r="D673" s="386"/>
      <c r="E673" s="387"/>
      <c r="F673" s="387"/>
      <c r="G673" s="387"/>
      <c r="H673" s="387"/>
      <c r="I673" s="387"/>
      <c r="K673" s="388"/>
      <c r="L673" s="388"/>
      <c r="N673" s="1"/>
      <c r="O673" s="3"/>
    </row>
    <row r="674" ht="14.25" customHeight="1">
      <c r="A674" s="8"/>
      <c r="D674" s="386"/>
      <c r="E674" s="387"/>
      <c r="F674" s="387"/>
      <c r="G674" s="387"/>
      <c r="H674" s="387"/>
      <c r="I674" s="387"/>
      <c r="K674" s="388"/>
      <c r="L674" s="388"/>
      <c r="N674" s="1"/>
      <c r="O674" s="3"/>
    </row>
    <row r="675" ht="14.25" customHeight="1">
      <c r="A675" s="8"/>
      <c r="D675" s="386"/>
      <c r="E675" s="387"/>
      <c r="F675" s="387"/>
      <c r="G675" s="387"/>
      <c r="H675" s="387"/>
      <c r="I675" s="387"/>
      <c r="K675" s="388"/>
      <c r="L675" s="388"/>
      <c r="N675" s="1"/>
      <c r="O675" s="3"/>
    </row>
    <row r="676" ht="14.25" customHeight="1">
      <c r="A676" s="8"/>
      <c r="D676" s="386"/>
      <c r="E676" s="387"/>
      <c r="F676" s="387"/>
      <c r="G676" s="387"/>
      <c r="H676" s="387"/>
      <c r="I676" s="387"/>
      <c r="K676" s="388"/>
      <c r="L676" s="388"/>
      <c r="N676" s="1"/>
      <c r="O676" s="3"/>
    </row>
    <row r="677" ht="14.25" customHeight="1">
      <c r="A677" s="8"/>
      <c r="D677" s="386"/>
      <c r="E677" s="387"/>
      <c r="F677" s="387"/>
      <c r="G677" s="387"/>
      <c r="H677" s="387"/>
      <c r="I677" s="387"/>
      <c r="K677" s="388"/>
      <c r="L677" s="388"/>
      <c r="N677" s="1"/>
      <c r="O677" s="3"/>
    </row>
    <row r="678" ht="14.25" customHeight="1">
      <c r="A678" s="8"/>
      <c r="D678" s="386"/>
      <c r="E678" s="387"/>
      <c r="F678" s="387"/>
      <c r="G678" s="387"/>
      <c r="H678" s="387"/>
      <c r="I678" s="387"/>
      <c r="K678" s="388"/>
      <c r="L678" s="388"/>
      <c r="N678" s="1"/>
      <c r="O678" s="3"/>
    </row>
    <row r="679" ht="14.25" customHeight="1">
      <c r="A679" s="8"/>
      <c r="D679" s="386"/>
      <c r="E679" s="387"/>
      <c r="F679" s="387"/>
      <c r="G679" s="387"/>
      <c r="H679" s="387"/>
      <c r="I679" s="387"/>
      <c r="K679" s="388"/>
      <c r="L679" s="388"/>
      <c r="N679" s="1"/>
      <c r="O679" s="3"/>
    </row>
    <row r="680" ht="14.25" customHeight="1">
      <c r="A680" s="8"/>
      <c r="D680" s="386"/>
      <c r="E680" s="387"/>
      <c r="F680" s="387"/>
      <c r="G680" s="387"/>
      <c r="H680" s="387"/>
      <c r="I680" s="387"/>
      <c r="K680" s="388"/>
      <c r="L680" s="388"/>
      <c r="N680" s="1"/>
      <c r="O680" s="3"/>
    </row>
    <row r="681" ht="14.25" customHeight="1">
      <c r="A681" s="8"/>
      <c r="D681" s="386"/>
      <c r="E681" s="387"/>
      <c r="F681" s="387"/>
      <c r="G681" s="387"/>
      <c r="H681" s="387"/>
      <c r="I681" s="387"/>
      <c r="K681" s="388"/>
      <c r="L681" s="388"/>
      <c r="N681" s="1"/>
      <c r="O681" s="3"/>
    </row>
    <row r="682" ht="14.25" customHeight="1">
      <c r="A682" s="8"/>
      <c r="D682" s="386"/>
      <c r="E682" s="387"/>
      <c r="F682" s="387"/>
      <c r="G682" s="387"/>
      <c r="H682" s="387"/>
      <c r="I682" s="387"/>
      <c r="K682" s="388"/>
      <c r="L682" s="388"/>
      <c r="N682" s="1"/>
      <c r="O682" s="3"/>
    </row>
    <row r="683" ht="14.25" customHeight="1">
      <c r="A683" s="8"/>
      <c r="D683" s="386"/>
      <c r="E683" s="387"/>
      <c r="F683" s="387"/>
      <c r="G683" s="387"/>
      <c r="H683" s="387"/>
      <c r="I683" s="387"/>
      <c r="K683" s="388"/>
      <c r="L683" s="388"/>
      <c r="N683" s="1"/>
      <c r="O683" s="3"/>
    </row>
    <row r="684" ht="14.25" customHeight="1">
      <c r="A684" s="8"/>
      <c r="D684" s="386"/>
      <c r="E684" s="387"/>
      <c r="F684" s="387"/>
      <c r="G684" s="387"/>
      <c r="H684" s="387"/>
      <c r="I684" s="387"/>
      <c r="K684" s="388"/>
      <c r="L684" s="388"/>
      <c r="N684" s="1"/>
      <c r="O684" s="3"/>
    </row>
    <row r="685" ht="14.25" customHeight="1">
      <c r="A685" s="8"/>
      <c r="D685" s="386"/>
      <c r="E685" s="387"/>
      <c r="F685" s="387"/>
      <c r="G685" s="387"/>
      <c r="H685" s="387"/>
      <c r="I685" s="387"/>
      <c r="K685" s="388"/>
      <c r="L685" s="388"/>
      <c r="N685" s="1"/>
      <c r="O685" s="3"/>
    </row>
    <row r="686" ht="14.25" customHeight="1">
      <c r="A686" s="8"/>
      <c r="D686" s="386"/>
      <c r="E686" s="387"/>
      <c r="F686" s="387"/>
      <c r="G686" s="387"/>
      <c r="H686" s="387"/>
      <c r="I686" s="387"/>
      <c r="K686" s="388"/>
      <c r="L686" s="388"/>
      <c r="N686" s="1"/>
      <c r="O686" s="3"/>
    </row>
    <row r="687" ht="14.25" customHeight="1">
      <c r="A687" s="8"/>
      <c r="D687" s="386"/>
      <c r="E687" s="387"/>
      <c r="F687" s="387"/>
      <c r="G687" s="387"/>
      <c r="H687" s="387"/>
      <c r="I687" s="387"/>
      <c r="K687" s="388"/>
      <c r="L687" s="388"/>
      <c r="N687" s="1"/>
      <c r="O687" s="3"/>
    </row>
    <row r="688" ht="14.25" customHeight="1">
      <c r="A688" s="8"/>
      <c r="D688" s="386"/>
      <c r="E688" s="387"/>
      <c r="F688" s="387"/>
      <c r="G688" s="387"/>
      <c r="H688" s="387"/>
      <c r="I688" s="387"/>
      <c r="K688" s="388"/>
      <c r="L688" s="388"/>
      <c r="N688" s="1"/>
      <c r="O688" s="3"/>
    </row>
    <row r="689" ht="14.25" customHeight="1">
      <c r="A689" s="8"/>
      <c r="D689" s="386"/>
      <c r="E689" s="387"/>
      <c r="F689" s="387"/>
      <c r="G689" s="387"/>
      <c r="H689" s="387"/>
      <c r="I689" s="387"/>
      <c r="K689" s="388"/>
      <c r="L689" s="388"/>
      <c r="N689" s="1"/>
      <c r="O689" s="3"/>
    </row>
    <row r="690" ht="14.25" customHeight="1">
      <c r="A690" s="8"/>
      <c r="D690" s="386"/>
      <c r="E690" s="387"/>
      <c r="F690" s="387"/>
      <c r="G690" s="387"/>
      <c r="H690" s="387"/>
      <c r="I690" s="387"/>
      <c r="K690" s="388"/>
      <c r="L690" s="388"/>
      <c r="N690" s="1"/>
      <c r="O690" s="3"/>
    </row>
    <row r="691" ht="14.25" customHeight="1">
      <c r="A691" s="8"/>
      <c r="D691" s="386"/>
      <c r="E691" s="387"/>
      <c r="F691" s="387"/>
      <c r="G691" s="387"/>
      <c r="H691" s="387"/>
      <c r="I691" s="387"/>
      <c r="K691" s="388"/>
      <c r="L691" s="388"/>
      <c r="N691" s="1"/>
      <c r="O691" s="3"/>
    </row>
    <row r="692" ht="14.25" customHeight="1">
      <c r="A692" s="8"/>
      <c r="D692" s="386"/>
      <c r="E692" s="387"/>
      <c r="F692" s="387"/>
      <c r="G692" s="387"/>
      <c r="H692" s="387"/>
      <c r="I692" s="387"/>
      <c r="K692" s="388"/>
      <c r="L692" s="388"/>
      <c r="N692" s="1"/>
      <c r="O692" s="3"/>
    </row>
    <row r="693" ht="14.25" customHeight="1">
      <c r="A693" s="8"/>
      <c r="D693" s="386"/>
      <c r="E693" s="387"/>
      <c r="F693" s="387"/>
      <c r="G693" s="387"/>
      <c r="H693" s="387"/>
      <c r="I693" s="387"/>
      <c r="K693" s="388"/>
      <c r="L693" s="388"/>
      <c r="N693" s="1"/>
      <c r="O693" s="3"/>
    </row>
    <row r="694" ht="14.25" customHeight="1">
      <c r="A694" s="8"/>
      <c r="D694" s="386"/>
      <c r="E694" s="387"/>
      <c r="F694" s="387"/>
      <c r="G694" s="387"/>
      <c r="H694" s="387"/>
      <c r="I694" s="387"/>
      <c r="K694" s="388"/>
      <c r="L694" s="388"/>
      <c r="N694" s="1"/>
      <c r="O694" s="3"/>
    </row>
    <row r="695" ht="14.25" customHeight="1">
      <c r="A695" s="8"/>
      <c r="D695" s="386"/>
      <c r="E695" s="387"/>
      <c r="F695" s="387"/>
      <c r="G695" s="387"/>
      <c r="H695" s="387"/>
      <c r="I695" s="387"/>
      <c r="K695" s="388"/>
      <c r="L695" s="388"/>
      <c r="N695" s="1"/>
      <c r="O695" s="3"/>
    </row>
    <row r="696" ht="14.25" customHeight="1">
      <c r="A696" s="8"/>
      <c r="D696" s="386"/>
      <c r="E696" s="387"/>
      <c r="F696" s="387"/>
      <c r="G696" s="387"/>
      <c r="H696" s="387"/>
      <c r="I696" s="387"/>
      <c r="K696" s="388"/>
      <c r="L696" s="388"/>
      <c r="N696" s="1"/>
      <c r="O696" s="3"/>
    </row>
    <row r="697" ht="14.25" customHeight="1">
      <c r="A697" s="8"/>
      <c r="D697" s="386"/>
      <c r="E697" s="387"/>
      <c r="F697" s="387"/>
      <c r="G697" s="387"/>
      <c r="H697" s="387"/>
      <c r="I697" s="387"/>
      <c r="K697" s="388"/>
      <c r="L697" s="388"/>
      <c r="N697" s="1"/>
      <c r="O697" s="3"/>
    </row>
    <row r="698" ht="14.25" customHeight="1">
      <c r="A698" s="8"/>
      <c r="D698" s="386"/>
      <c r="E698" s="387"/>
      <c r="F698" s="387"/>
      <c r="G698" s="387"/>
      <c r="H698" s="387"/>
      <c r="I698" s="387"/>
      <c r="K698" s="388"/>
      <c r="L698" s="388"/>
      <c r="N698" s="1"/>
      <c r="O698" s="3"/>
    </row>
    <row r="699" ht="14.25" customHeight="1">
      <c r="A699" s="8"/>
      <c r="D699" s="386"/>
      <c r="E699" s="387"/>
      <c r="F699" s="387"/>
      <c r="G699" s="387"/>
      <c r="H699" s="387"/>
      <c r="I699" s="387"/>
      <c r="K699" s="388"/>
      <c r="L699" s="388"/>
      <c r="N699" s="1"/>
      <c r="O699" s="3"/>
    </row>
    <row r="700" ht="14.25" customHeight="1">
      <c r="A700" s="8"/>
      <c r="D700" s="386"/>
      <c r="E700" s="387"/>
      <c r="F700" s="387"/>
      <c r="G700" s="387"/>
      <c r="H700" s="387"/>
      <c r="I700" s="387"/>
      <c r="K700" s="388"/>
      <c r="L700" s="388"/>
      <c r="N700" s="1"/>
      <c r="O700" s="3"/>
    </row>
    <row r="701" ht="14.25" customHeight="1">
      <c r="A701" s="8"/>
      <c r="D701" s="386"/>
      <c r="E701" s="387"/>
      <c r="F701" s="387"/>
      <c r="G701" s="387"/>
      <c r="H701" s="387"/>
      <c r="I701" s="387"/>
      <c r="K701" s="388"/>
      <c r="L701" s="388"/>
      <c r="N701" s="1"/>
      <c r="O701" s="3"/>
    </row>
    <row r="702" ht="14.25" customHeight="1">
      <c r="A702" s="8"/>
      <c r="D702" s="386"/>
      <c r="E702" s="387"/>
      <c r="F702" s="387"/>
      <c r="G702" s="387"/>
      <c r="H702" s="387"/>
      <c r="I702" s="387"/>
      <c r="K702" s="388"/>
      <c r="L702" s="388"/>
      <c r="N702" s="1"/>
      <c r="O702" s="3"/>
    </row>
    <row r="703" ht="14.25" customHeight="1">
      <c r="A703" s="8"/>
      <c r="D703" s="386"/>
      <c r="E703" s="387"/>
      <c r="F703" s="387"/>
      <c r="G703" s="387"/>
      <c r="H703" s="387"/>
      <c r="I703" s="387"/>
      <c r="K703" s="388"/>
      <c r="L703" s="388"/>
      <c r="N703" s="1"/>
      <c r="O703" s="3"/>
    </row>
    <row r="704" ht="14.25" customHeight="1">
      <c r="A704" s="8"/>
      <c r="D704" s="386"/>
      <c r="E704" s="387"/>
      <c r="F704" s="387"/>
      <c r="G704" s="387"/>
      <c r="H704" s="387"/>
      <c r="I704" s="387"/>
      <c r="K704" s="388"/>
      <c r="L704" s="388"/>
      <c r="N704" s="1"/>
      <c r="O704" s="3"/>
    </row>
    <row r="705" ht="14.25" customHeight="1">
      <c r="A705" s="8"/>
      <c r="D705" s="386"/>
      <c r="E705" s="387"/>
      <c r="F705" s="387"/>
      <c r="G705" s="387"/>
      <c r="H705" s="387"/>
      <c r="I705" s="387"/>
      <c r="K705" s="388"/>
      <c r="L705" s="388"/>
      <c r="N705" s="1"/>
      <c r="O705" s="3"/>
    </row>
    <row r="706" ht="14.25" customHeight="1">
      <c r="A706" s="8"/>
      <c r="D706" s="386"/>
      <c r="E706" s="387"/>
      <c r="F706" s="387"/>
      <c r="G706" s="387"/>
      <c r="H706" s="387"/>
      <c r="I706" s="387"/>
      <c r="K706" s="388"/>
      <c r="L706" s="388"/>
      <c r="N706" s="1"/>
      <c r="O706" s="3"/>
    </row>
    <row r="707" ht="14.25" customHeight="1">
      <c r="A707" s="8"/>
      <c r="D707" s="386"/>
      <c r="E707" s="387"/>
      <c r="F707" s="387"/>
      <c r="G707" s="387"/>
      <c r="H707" s="387"/>
      <c r="I707" s="387"/>
      <c r="K707" s="388"/>
      <c r="L707" s="388"/>
      <c r="N707" s="1"/>
      <c r="O707" s="3"/>
    </row>
    <row r="708" ht="14.25" customHeight="1">
      <c r="A708" s="8"/>
      <c r="D708" s="386"/>
      <c r="E708" s="387"/>
      <c r="F708" s="387"/>
      <c r="G708" s="387"/>
      <c r="H708" s="387"/>
      <c r="I708" s="387"/>
      <c r="K708" s="388"/>
      <c r="L708" s="388"/>
      <c r="N708" s="1"/>
      <c r="O708" s="3"/>
    </row>
    <row r="709" ht="14.25" customHeight="1">
      <c r="A709" s="8"/>
      <c r="D709" s="386"/>
      <c r="E709" s="387"/>
      <c r="F709" s="387"/>
      <c r="G709" s="387"/>
      <c r="H709" s="387"/>
      <c r="I709" s="387"/>
      <c r="K709" s="388"/>
      <c r="L709" s="388"/>
      <c r="N709" s="1"/>
      <c r="O709" s="3"/>
    </row>
    <row r="710" ht="14.25" customHeight="1">
      <c r="A710" s="8"/>
      <c r="D710" s="386"/>
      <c r="E710" s="387"/>
      <c r="F710" s="387"/>
      <c r="G710" s="387"/>
      <c r="H710" s="387"/>
      <c r="I710" s="387"/>
      <c r="K710" s="388"/>
      <c r="L710" s="388"/>
      <c r="N710" s="1"/>
      <c r="O710" s="3"/>
    </row>
    <row r="711" ht="14.25" customHeight="1">
      <c r="A711" s="8"/>
      <c r="D711" s="386"/>
      <c r="E711" s="387"/>
      <c r="F711" s="387"/>
      <c r="G711" s="387"/>
      <c r="H711" s="387"/>
      <c r="I711" s="387"/>
      <c r="K711" s="388"/>
      <c r="L711" s="388"/>
      <c r="N711" s="1"/>
      <c r="O711" s="3"/>
    </row>
    <row r="712" ht="14.25" customHeight="1">
      <c r="A712" s="8"/>
      <c r="D712" s="386"/>
      <c r="E712" s="387"/>
      <c r="F712" s="387"/>
      <c r="G712" s="387"/>
      <c r="H712" s="387"/>
      <c r="I712" s="387"/>
      <c r="K712" s="388"/>
      <c r="L712" s="388"/>
      <c r="N712" s="1"/>
      <c r="O712" s="3"/>
    </row>
    <row r="713" ht="14.25" customHeight="1">
      <c r="A713" s="8"/>
      <c r="D713" s="386"/>
      <c r="E713" s="387"/>
      <c r="F713" s="387"/>
      <c r="G713" s="387"/>
      <c r="H713" s="387"/>
      <c r="I713" s="387"/>
      <c r="K713" s="388"/>
      <c r="L713" s="388"/>
      <c r="N713" s="1"/>
      <c r="O713" s="3"/>
    </row>
    <row r="714" ht="14.25" customHeight="1">
      <c r="A714" s="8"/>
      <c r="D714" s="386"/>
      <c r="E714" s="387"/>
      <c r="F714" s="387"/>
      <c r="G714" s="387"/>
      <c r="H714" s="387"/>
      <c r="I714" s="387"/>
      <c r="K714" s="388"/>
      <c r="L714" s="388"/>
      <c r="N714" s="1"/>
      <c r="O714" s="3"/>
    </row>
    <row r="715" ht="14.25" customHeight="1">
      <c r="A715" s="8"/>
      <c r="D715" s="386"/>
      <c r="E715" s="387"/>
      <c r="F715" s="387"/>
      <c r="G715" s="387"/>
      <c r="H715" s="387"/>
      <c r="I715" s="387"/>
      <c r="K715" s="388"/>
      <c r="L715" s="388"/>
      <c r="N715" s="1"/>
      <c r="O715" s="3"/>
    </row>
    <row r="716" ht="14.25" customHeight="1">
      <c r="A716" s="8"/>
      <c r="D716" s="386"/>
      <c r="E716" s="387"/>
      <c r="F716" s="387"/>
      <c r="G716" s="387"/>
      <c r="H716" s="387"/>
      <c r="I716" s="387"/>
      <c r="K716" s="388"/>
      <c r="L716" s="388"/>
      <c r="N716" s="1"/>
      <c r="O716" s="3"/>
    </row>
    <row r="717" ht="14.25" customHeight="1">
      <c r="A717" s="8"/>
      <c r="D717" s="386"/>
      <c r="E717" s="387"/>
      <c r="F717" s="387"/>
      <c r="G717" s="387"/>
      <c r="H717" s="387"/>
      <c r="I717" s="387"/>
      <c r="K717" s="388"/>
      <c r="L717" s="388"/>
      <c r="N717" s="1"/>
      <c r="O717" s="3"/>
    </row>
    <row r="718" ht="14.25" customHeight="1">
      <c r="A718" s="8"/>
      <c r="D718" s="386"/>
      <c r="E718" s="387"/>
      <c r="F718" s="387"/>
      <c r="G718" s="387"/>
      <c r="H718" s="387"/>
      <c r="I718" s="387"/>
      <c r="K718" s="388"/>
      <c r="L718" s="388"/>
      <c r="N718" s="1"/>
      <c r="O718" s="3"/>
    </row>
    <row r="719" ht="14.25" customHeight="1">
      <c r="A719" s="8"/>
      <c r="D719" s="386"/>
      <c r="E719" s="387"/>
      <c r="F719" s="387"/>
      <c r="G719" s="387"/>
      <c r="H719" s="387"/>
      <c r="I719" s="387"/>
      <c r="K719" s="388"/>
      <c r="L719" s="388"/>
      <c r="N719" s="1"/>
      <c r="O719" s="3"/>
    </row>
    <row r="720" ht="14.25" customHeight="1">
      <c r="A720" s="8"/>
      <c r="D720" s="386"/>
      <c r="E720" s="387"/>
      <c r="F720" s="387"/>
      <c r="G720" s="387"/>
      <c r="H720" s="387"/>
      <c r="I720" s="387"/>
      <c r="K720" s="388"/>
      <c r="L720" s="388"/>
      <c r="N720" s="1"/>
      <c r="O720" s="3"/>
    </row>
    <row r="721" ht="14.25" customHeight="1">
      <c r="A721" s="8"/>
      <c r="D721" s="386"/>
      <c r="E721" s="387"/>
      <c r="F721" s="387"/>
      <c r="G721" s="387"/>
      <c r="H721" s="387"/>
      <c r="I721" s="387"/>
      <c r="K721" s="388"/>
      <c r="L721" s="388"/>
      <c r="N721" s="1"/>
      <c r="O721" s="3"/>
    </row>
    <row r="722" ht="14.25" customHeight="1">
      <c r="A722" s="8"/>
      <c r="D722" s="386"/>
      <c r="E722" s="387"/>
      <c r="F722" s="387"/>
      <c r="G722" s="387"/>
      <c r="H722" s="387"/>
      <c r="I722" s="387"/>
      <c r="K722" s="388"/>
      <c r="L722" s="388"/>
      <c r="N722" s="1"/>
      <c r="O722" s="3"/>
    </row>
    <row r="723" ht="14.25" customHeight="1">
      <c r="A723" s="8"/>
      <c r="D723" s="386"/>
      <c r="E723" s="387"/>
      <c r="F723" s="387"/>
      <c r="G723" s="387"/>
      <c r="H723" s="387"/>
      <c r="I723" s="387"/>
      <c r="K723" s="388"/>
      <c r="L723" s="388"/>
      <c r="N723" s="1"/>
      <c r="O723" s="3"/>
    </row>
    <row r="724" ht="14.25" customHeight="1">
      <c r="A724" s="8"/>
      <c r="D724" s="386"/>
      <c r="E724" s="387"/>
      <c r="F724" s="387"/>
      <c r="G724" s="387"/>
      <c r="H724" s="387"/>
      <c r="I724" s="387"/>
      <c r="K724" s="388"/>
      <c r="L724" s="388"/>
      <c r="N724" s="1"/>
      <c r="O724" s="3"/>
    </row>
    <row r="725" ht="14.25" customHeight="1">
      <c r="A725" s="8"/>
      <c r="D725" s="386"/>
      <c r="E725" s="387"/>
      <c r="F725" s="387"/>
      <c r="G725" s="387"/>
      <c r="H725" s="387"/>
      <c r="I725" s="387"/>
      <c r="K725" s="388"/>
      <c r="L725" s="388"/>
      <c r="N725" s="1"/>
      <c r="O725" s="3"/>
    </row>
    <row r="726" ht="14.25" customHeight="1">
      <c r="A726" s="8"/>
      <c r="D726" s="386"/>
      <c r="E726" s="387"/>
      <c r="F726" s="387"/>
      <c r="G726" s="387"/>
      <c r="H726" s="387"/>
      <c r="I726" s="387"/>
      <c r="K726" s="388"/>
      <c r="L726" s="388"/>
      <c r="N726" s="1"/>
      <c r="O726" s="3"/>
    </row>
    <row r="727" ht="14.25" customHeight="1">
      <c r="A727" s="8"/>
      <c r="D727" s="386"/>
      <c r="E727" s="387"/>
      <c r="F727" s="387"/>
      <c r="G727" s="387"/>
      <c r="H727" s="387"/>
      <c r="I727" s="387"/>
      <c r="K727" s="388"/>
      <c r="L727" s="388"/>
      <c r="N727" s="1"/>
      <c r="O727" s="3"/>
    </row>
    <row r="728" ht="14.25" customHeight="1">
      <c r="A728" s="8"/>
      <c r="D728" s="386"/>
      <c r="E728" s="387"/>
      <c r="F728" s="387"/>
      <c r="G728" s="387"/>
      <c r="H728" s="387"/>
      <c r="I728" s="387"/>
      <c r="K728" s="388"/>
      <c r="L728" s="388"/>
      <c r="N728" s="1"/>
      <c r="O728" s="3"/>
    </row>
    <row r="729" ht="14.25" customHeight="1">
      <c r="A729" s="8"/>
      <c r="D729" s="386"/>
      <c r="E729" s="387"/>
      <c r="F729" s="387"/>
      <c r="G729" s="387"/>
      <c r="H729" s="387"/>
      <c r="I729" s="387"/>
      <c r="K729" s="388"/>
      <c r="L729" s="388"/>
      <c r="N729" s="1"/>
      <c r="O729" s="3"/>
    </row>
    <row r="730" ht="14.25" customHeight="1">
      <c r="A730" s="8"/>
      <c r="D730" s="386"/>
      <c r="E730" s="387"/>
      <c r="F730" s="387"/>
      <c r="G730" s="387"/>
      <c r="H730" s="387"/>
      <c r="I730" s="387"/>
      <c r="K730" s="388"/>
      <c r="L730" s="388"/>
      <c r="N730" s="1"/>
      <c r="O730" s="3"/>
    </row>
    <row r="731" ht="14.25" customHeight="1">
      <c r="A731" s="8"/>
      <c r="D731" s="386"/>
      <c r="E731" s="387"/>
      <c r="F731" s="387"/>
      <c r="G731" s="387"/>
      <c r="H731" s="387"/>
      <c r="I731" s="387"/>
      <c r="K731" s="388"/>
      <c r="L731" s="388"/>
      <c r="N731" s="1"/>
      <c r="O731" s="3"/>
    </row>
    <row r="732" ht="14.25" customHeight="1">
      <c r="A732" s="8"/>
      <c r="D732" s="386"/>
      <c r="E732" s="387"/>
      <c r="F732" s="387"/>
      <c r="G732" s="387"/>
      <c r="H732" s="387"/>
      <c r="I732" s="387"/>
      <c r="K732" s="388"/>
      <c r="L732" s="388"/>
      <c r="N732" s="1"/>
      <c r="O732" s="3"/>
    </row>
    <row r="733" ht="14.25" customHeight="1">
      <c r="A733" s="8"/>
      <c r="D733" s="386"/>
      <c r="E733" s="387"/>
      <c r="F733" s="387"/>
      <c r="G733" s="387"/>
      <c r="H733" s="387"/>
      <c r="I733" s="387"/>
      <c r="K733" s="388"/>
      <c r="L733" s="388"/>
      <c r="N733" s="1"/>
      <c r="O733" s="3"/>
    </row>
    <row r="734" ht="14.25" customHeight="1">
      <c r="A734" s="8"/>
      <c r="D734" s="386"/>
      <c r="E734" s="387"/>
      <c r="F734" s="387"/>
      <c r="G734" s="387"/>
      <c r="H734" s="387"/>
      <c r="I734" s="387"/>
      <c r="K734" s="388"/>
      <c r="L734" s="388"/>
      <c r="N734" s="1"/>
      <c r="O734" s="3"/>
    </row>
    <row r="735" ht="14.25" customHeight="1">
      <c r="A735" s="8"/>
      <c r="D735" s="386"/>
      <c r="E735" s="387"/>
      <c r="F735" s="387"/>
      <c r="G735" s="387"/>
      <c r="H735" s="387"/>
      <c r="I735" s="387"/>
      <c r="K735" s="388"/>
      <c r="L735" s="388"/>
      <c r="N735" s="1"/>
      <c r="O735" s="3"/>
    </row>
    <row r="736" ht="14.25" customHeight="1">
      <c r="A736" s="8"/>
      <c r="D736" s="386"/>
      <c r="E736" s="387"/>
      <c r="F736" s="387"/>
      <c r="G736" s="387"/>
      <c r="H736" s="387"/>
      <c r="I736" s="387"/>
      <c r="K736" s="388"/>
      <c r="L736" s="388"/>
      <c r="N736" s="1"/>
      <c r="O736" s="3"/>
    </row>
    <row r="737" ht="14.25" customHeight="1">
      <c r="A737" s="8"/>
      <c r="D737" s="386"/>
      <c r="E737" s="387"/>
      <c r="F737" s="387"/>
      <c r="G737" s="387"/>
      <c r="H737" s="387"/>
      <c r="I737" s="387"/>
      <c r="K737" s="388"/>
      <c r="L737" s="388"/>
      <c r="N737" s="1"/>
      <c r="O737" s="3"/>
    </row>
    <row r="738" ht="14.25" customHeight="1">
      <c r="A738" s="8"/>
      <c r="D738" s="386"/>
      <c r="E738" s="387"/>
      <c r="F738" s="387"/>
      <c r="G738" s="387"/>
      <c r="H738" s="387"/>
      <c r="I738" s="387"/>
      <c r="K738" s="388"/>
      <c r="L738" s="388"/>
      <c r="N738" s="1"/>
      <c r="O738" s="3"/>
    </row>
    <row r="739" ht="14.25" customHeight="1">
      <c r="A739" s="8"/>
      <c r="D739" s="386"/>
      <c r="E739" s="387"/>
      <c r="F739" s="387"/>
      <c r="G739" s="387"/>
      <c r="H739" s="387"/>
      <c r="I739" s="387"/>
      <c r="K739" s="388"/>
      <c r="L739" s="388"/>
      <c r="N739" s="1"/>
      <c r="O739" s="3"/>
    </row>
    <row r="740" ht="14.25" customHeight="1">
      <c r="A740" s="8"/>
      <c r="D740" s="386"/>
      <c r="E740" s="387"/>
      <c r="F740" s="387"/>
      <c r="G740" s="387"/>
      <c r="H740" s="387"/>
      <c r="I740" s="387"/>
      <c r="K740" s="388"/>
      <c r="L740" s="388"/>
      <c r="N740" s="1"/>
      <c r="O740" s="3"/>
    </row>
    <row r="741" ht="14.25" customHeight="1">
      <c r="A741" s="8"/>
      <c r="D741" s="386"/>
      <c r="E741" s="387"/>
      <c r="F741" s="387"/>
      <c r="G741" s="387"/>
      <c r="H741" s="387"/>
      <c r="I741" s="387"/>
      <c r="K741" s="388"/>
      <c r="L741" s="388"/>
      <c r="N741" s="1"/>
      <c r="O741" s="3"/>
    </row>
    <row r="742" ht="14.25" customHeight="1">
      <c r="A742" s="8"/>
      <c r="D742" s="386"/>
      <c r="E742" s="387"/>
      <c r="F742" s="387"/>
      <c r="G742" s="387"/>
      <c r="H742" s="387"/>
      <c r="I742" s="387"/>
      <c r="K742" s="388"/>
      <c r="L742" s="388"/>
      <c r="N742" s="1"/>
      <c r="O742" s="3"/>
    </row>
    <row r="743" ht="14.25" customHeight="1">
      <c r="A743" s="8"/>
      <c r="D743" s="386"/>
      <c r="E743" s="387"/>
      <c r="F743" s="387"/>
      <c r="G743" s="387"/>
      <c r="H743" s="387"/>
      <c r="I743" s="387"/>
      <c r="K743" s="388"/>
      <c r="L743" s="388"/>
      <c r="N743" s="1"/>
      <c r="O743" s="3"/>
    </row>
    <row r="744" ht="14.25" customHeight="1">
      <c r="A744" s="8"/>
      <c r="D744" s="386"/>
      <c r="E744" s="387"/>
      <c r="F744" s="387"/>
      <c r="G744" s="387"/>
      <c r="H744" s="387"/>
      <c r="I744" s="387"/>
      <c r="K744" s="388"/>
      <c r="L744" s="388"/>
      <c r="N744" s="1"/>
      <c r="O744" s="3"/>
    </row>
    <row r="745" ht="14.25" customHeight="1">
      <c r="A745" s="8"/>
      <c r="D745" s="386"/>
      <c r="E745" s="387"/>
      <c r="F745" s="387"/>
      <c r="G745" s="387"/>
      <c r="H745" s="387"/>
      <c r="I745" s="387"/>
      <c r="K745" s="388"/>
      <c r="L745" s="388"/>
      <c r="N745" s="1"/>
      <c r="O745" s="3"/>
    </row>
    <row r="746" ht="14.25" customHeight="1">
      <c r="A746" s="8"/>
      <c r="D746" s="386"/>
      <c r="E746" s="387"/>
      <c r="F746" s="387"/>
      <c r="G746" s="387"/>
      <c r="H746" s="387"/>
      <c r="I746" s="387"/>
      <c r="K746" s="388"/>
      <c r="L746" s="388"/>
      <c r="N746" s="1"/>
      <c r="O746" s="3"/>
    </row>
    <row r="747" ht="14.25" customHeight="1">
      <c r="A747" s="8"/>
      <c r="D747" s="386"/>
      <c r="E747" s="387"/>
      <c r="F747" s="387"/>
      <c r="G747" s="387"/>
      <c r="H747" s="387"/>
      <c r="I747" s="387"/>
      <c r="K747" s="388"/>
      <c r="L747" s="388"/>
      <c r="N747" s="1"/>
      <c r="O747" s="3"/>
    </row>
    <row r="748" ht="14.25" customHeight="1">
      <c r="A748" s="8"/>
      <c r="D748" s="386"/>
      <c r="E748" s="387"/>
      <c r="F748" s="387"/>
      <c r="G748" s="387"/>
      <c r="H748" s="387"/>
      <c r="I748" s="387"/>
      <c r="K748" s="388"/>
      <c r="L748" s="388"/>
      <c r="N748" s="1"/>
      <c r="O748" s="3"/>
    </row>
    <row r="749" ht="14.25" customHeight="1">
      <c r="A749" s="8"/>
      <c r="D749" s="386"/>
      <c r="E749" s="387"/>
      <c r="F749" s="387"/>
      <c r="G749" s="387"/>
      <c r="H749" s="387"/>
      <c r="I749" s="387"/>
      <c r="K749" s="388"/>
      <c r="L749" s="388"/>
      <c r="N749" s="1"/>
      <c r="O749" s="3"/>
    </row>
    <row r="750" ht="14.25" customHeight="1">
      <c r="A750" s="8"/>
      <c r="D750" s="386"/>
      <c r="E750" s="387"/>
      <c r="F750" s="387"/>
      <c r="G750" s="387"/>
      <c r="H750" s="387"/>
      <c r="I750" s="387"/>
      <c r="K750" s="388"/>
      <c r="L750" s="388"/>
      <c r="N750" s="1"/>
      <c r="O750" s="3"/>
    </row>
    <row r="751" ht="14.25" customHeight="1">
      <c r="A751" s="8"/>
      <c r="D751" s="386"/>
      <c r="E751" s="387"/>
      <c r="F751" s="387"/>
      <c r="G751" s="387"/>
      <c r="H751" s="387"/>
      <c r="I751" s="387"/>
      <c r="K751" s="388"/>
      <c r="L751" s="388"/>
      <c r="N751" s="1"/>
      <c r="O751" s="3"/>
    </row>
    <row r="752" ht="14.25" customHeight="1">
      <c r="A752" s="8"/>
      <c r="D752" s="386"/>
      <c r="E752" s="387"/>
      <c r="F752" s="387"/>
      <c r="G752" s="387"/>
      <c r="H752" s="387"/>
      <c r="I752" s="387"/>
      <c r="K752" s="388"/>
      <c r="L752" s="388"/>
      <c r="N752" s="1"/>
      <c r="O752" s="3"/>
    </row>
    <row r="753" ht="14.25" customHeight="1">
      <c r="A753" s="8"/>
      <c r="D753" s="386"/>
      <c r="E753" s="387"/>
      <c r="F753" s="387"/>
      <c r="G753" s="387"/>
      <c r="H753" s="387"/>
      <c r="I753" s="387"/>
      <c r="K753" s="388"/>
      <c r="L753" s="388"/>
      <c r="N753" s="1"/>
      <c r="O753" s="3"/>
    </row>
    <row r="754" ht="14.25" customHeight="1">
      <c r="A754" s="8"/>
      <c r="D754" s="386"/>
      <c r="E754" s="387"/>
      <c r="F754" s="387"/>
      <c r="G754" s="387"/>
      <c r="H754" s="387"/>
      <c r="I754" s="387"/>
      <c r="K754" s="388"/>
      <c r="L754" s="388"/>
      <c r="N754" s="1"/>
      <c r="O754" s="3"/>
    </row>
    <row r="755" ht="14.25" customHeight="1">
      <c r="A755" s="8"/>
      <c r="D755" s="386"/>
      <c r="E755" s="387"/>
      <c r="F755" s="387"/>
      <c r="G755" s="387"/>
      <c r="H755" s="387"/>
      <c r="I755" s="387"/>
      <c r="K755" s="388"/>
      <c r="L755" s="388"/>
      <c r="N755" s="1"/>
      <c r="O755" s="3"/>
    </row>
    <row r="756" ht="14.25" customHeight="1">
      <c r="A756" s="8"/>
      <c r="D756" s="386"/>
      <c r="E756" s="387"/>
      <c r="F756" s="387"/>
      <c r="G756" s="387"/>
      <c r="H756" s="387"/>
      <c r="I756" s="387"/>
      <c r="K756" s="388"/>
      <c r="L756" s="388"/>
      <c r="N756" s="1"/>
      <c r="O756" s="3"/>
    </row>
    <row r="757" ht="14.25" customHeight="1">
      <c r="A757" s="8"/>
      <c r="D757" s="386"/>
      <c r="E757" s="387"/>
      <c r="F757" s="387"/>
      <c r="G757" s="387"/>
      <c r="H757" s="387"/>
      <c r="I757" s="387"/>
      <c r="K757" s="388"/>
      <c r="L757" s="388"/>
      <c r="N757" s="1"/>
      <c r="O757" s="3"/>
    </row>
    <row r="758" ht="14.25" customHeight="1">
      <c r="A758" s="8"/>
      <c r="D758" s="386"/>
      <c r="E758" s="387"/>
      <c r="F758" s="387"/>
      <c r="G758" s="387"/>
      <c r="H758" s="387"/>
      <c r="I758" s="387"/>
      <c r="K758" s="388"/>
      <c r="L758" s="388"/>
      <c r="N758" s="1"/>
      <c r="O758" s="3"/>
    </row>
    <row r="759" ht="14.25" customHeight="1">
      <c r="A759" s="8"/>
      <c r="D759" s="386"/>
      <c r="E759" s="387"/>
      <c r="F759" s="387"/>
      <c r="G759" s="387"/>
      <c r="H759" s="387"/>
      <c r="I759" s="387"/>
      <c r="K759" s="388"/>
      <c r="L759" s="388"/>
      <c r="N759" s="1"/>
      <c r="O759" s="3"/>
    </row>
    <row r="760" ht="14.25" customHeight="1">
      <c r="A760" s="8"/>
      <c r="D760" s="386"/>
      <c r="E760" s="387"/>
      <c r="F760" s="387"/>
      <c r="G760" s="387"/>
      <c r="H760" s="387"/>
      <c r="I760" s="387"/>
      <c r="K760" s="388"/>
      <c r="L760" s="388"/>
      <c r="N760" s="1"/>
      <c r="O760" s="3"/>
    </row>
    <row r="761" ht="14.25" customHeight="1">
      <c r="A761" s="8"/>
      <c r="D761" s="386"/>
      <c r="E761" s="387"/>
      <c r="F761" s="387"/>
      <c r="G761" s="387"/>
      <c r="H761" s="387"/>
      <c r="I761" s="387"/>
      <c r="K761" s="388"/>
      <c r="L761" s="388"/>
      <c r="N761" s="1"/>
      <c r="O761" s="3"/>
    </row>
    <row r="762" ht="14.25" customHeight="1">
      <c r="A762" s="8"/>
      <c r="D762" s="386"/>
      <c r="E762" s="387"/>
      <c r="F762" s="387"/>
      <c r="G762" s="387"/>
      <c r="H762" s="387"/>
      <c r="I762" s="387"/>
      <c r="K762" s="388"/>
      <c r="L762" s="388"/>
      <c r="N762" s="1"/>
      <c r="O762" s="3"/>
    </row>
    <row r="763" ht="14.25" customHeight="1">
      <c r="A763" s="8"/>
      <c r="D763" s="386"/>
      <c r="E763" s="387"/>
      <c r="F763" s="387"/>
      <c r="G763" s="387"/>
      <c r="H763" s="387"/>
      <c r="I763" s="387"/>
      <c r="K763" s="388"/>
      <c r="L763" s="388"/>
      <c r="N763" s="1"/>
      <c r="O763" s="3"/>
    </row>
    <row r="764" ht="14.25" customHeight="1">
      <c r="A764" s="8"/>
      <c r="D764" s="386"/>
      <c r="E764" s="387"/>
      <c r="F764" s="387"/>
      <c r="G764" s="387"/>
      <c r="H764" s="387"/>
      <c r="I764" s="387"/>
      <c r="K764" s="388"/>
      <c r="L764" s="388"/>
      <c r="N764" s="1"/>
      <c r="O764" s="3"/>
    </row>
    <row r="765" ht="14.25" customHeight="1">
      <c r="A765" s="8"/>
      <c r="D765" s="386"/>
      <c r="E765" s="387"/>
      <c r="F765" s="387"/>
      <c r="G765" s="387"/>
      <c r="H765" s="387"/>
      <c r="I765" s="387"/>
      <c r="K765" s="388"/>
      <c r="L765" s="388"/>
      <c r="N765" s="1"/>
      <c r="O765" s="3"/>
    </row>
    <row r="766" ht="14.25" customHeight="1">
      <c r="A766" s="8"/>
      <c r="D766" s="386"/>
      <c r="E766" s="387"/>
      <c r="F766" s="387"/>
      <c r="G766" s="387"/>
      <c r="H766" s="387"/>
      <c r="I766" s="387"/>
      <c r="K766" s="388"/>
      <c r="L766" s="388"/>
      <c r="N766" s="1"/>
      <c r="O766" s="3"/>
    </row>
    <row r="767" ht="14.25" customHeight="1">
      <c r="A767" s="8"/>
      <c r="D767" s="386"/>
      <c r="E767" s="387"/>
      <c r="F767" s="387"/>
      <c r="G767" s="387"/>
      <c r="H767" s="387"/>
      <c r="I767" s="387"/>
      <c r="K767" s="388"/>
      <c r="L767" s="388"/>
      <c r="N767" s="1"/>
      <c r="O767" s="3"/>
    </row>
    <row r="768" ht="14.25" customHeight="1">
      <c r="A768" s="8"/>
      <c r="D768" s="386"/>
      <c r="E768" s="387"/>
      <c r="F768" s="387"/>
      <c r="G768" s="387"/>
      <c r="H768" s="387"/>
      <c r="I768" s="387"/>
      <c r="K768" s="388"/>
      <c r="L768" s="388"/>
      <c r="N768" s="1"/>
      <c r="O768" s="3"/>
    </row>
    <row r="769" ht="14.25" customHeight="1">
      <c r="A769" s="8"/>
      <c r="D769" s="386"/>
      <c r="E769" s="387"/>
      <c r="F769" s="387"/>
      <c r="G769" s="387"/>
      <c r="H769" s="387"/>
      <c r="I769" s="387"/>
      <c r="K769" s="388"/>
      <c r="L769" s="388"/>
      <c r="N769" s="1"/>
      <c r="O769" s="3"/>
    </row>
    <row r="770" ht="14.25" customHeight="1">
      <c r="A770" s="8"/>
      <c r="D770" s="386"/>
      <c r="E770" s="387"/>
      <c r="F770" s="387"/>
      <c r="G770" s="387"/>
      <c r="H770" s="387"/>
      <c r="I770" s="387"/>
      <c r="K770" s="388"/>
      <c r="L770" s="388"/>
      <c r="N770" s="1"/>
      <c r="O770" s="3"/>
    </row>
    <row r="771" ht="14.25" customHeight="1">
      <c r="A771" s="8"/>
      <c r="D771" s="386"/>
      <c r="E771" s="387"/>
      <c r="F771" s="387"/>
      <c r="G771" s="387"/>
      <c r="H771" s="387"/>
      <c r="I771" s="387"/>
      <c r="K771" s="388"/>
      <c r="L771" s="388"/>
      <c r="N771" s="1"/>
      <c r="O771" s="3"/>
    </row>
    <row r="772" ht="14.25" customHeight="1">
      <c r="A772" s="8"/>
      <c r="D772" s="386"/>
      <c r="E772" s="387"/>
      <c r="F772" s="387"/>
      <c r="G772" s="387"/>
      <c r="H772" s="387"/>
      <c r="I772" s="387"/>
      <c r="K772" s="388"/>
      <c r="L772" s="388"/>
      <c r="N772" s="1"/>
      <c r="O772" s="3"/>
    </row>
    <row r="773" ht="14.25" customHeight="1">
      <c r="A773" s="8"/>
      <c r="D773" s="386"/>
      <c r="E773" s="387"/>
      <c r="F773" s="387"/>
      <c r="G773" s="387"/>
      <c r="H773" s="387"/>
      <c r="I773" s="387"/>
      <c r="K773" s="388"/>
      <c r="L773" s="388"/>
      <c r="N773" s="1"/>
      <c r="O773" s="3"/>
    </row>
    <row r="774" ht="14.25" customHeight="1">
      <c r="A774" s="8"/>
      <c r="D774" s="386"/>
      <c r="E774" s="387"/>
      <c r="F774" s="387"/>
      <c r="G774" s="387"/>
      <c r="H774" s="387"/>
      <c r="I774" s="387"/>
      <c r="K774" s="388"/>
      <c r="L774" s="388"/>
      <c r="N774" s="1"/>
      <c r="O774" s="3"/>
    </row>
    <row r="775" ht="14.25" customHeight="1">
      <c r="A775" s="8"/>
      <c r="D775" s="386"/>
      <c r="E775" s="387"/>
      <c r="F775" s="387"/>
      <c r="G775" s="387"/>
      <c r="H775" s="387"/>
      <c r="I775" s="387"/>
      <c r="K775" s="388"/>
      <c r="L775" s="388"/>
      <c r="N775" s="1"/>
      <c r="O775" s="3"/>
    </row>
    <row r="776" ht="14.25" customHeight="1">
      <c r="A776" s="8"/>
      <c r="D776" s="386"/>
      <c r="E776" s="387"/>
      <c r="F776" s="387"/>
      <c r="G776" s="387"/>
      <c r="H776" s="387"/>
      <c r="I776" s="387"/>
      <c r="K776" s="388"/>
      <c r="L776" s="388"/>
      <c r="N776" s="1"/>
      <c r="O776" s="3"/>
    </row>
    <row r="777" ht="14.25" customHeight="1">
      <c r="A777" s="8"/>
      <c r="D777" s="386"/>
      <c r="E777" s="387"/>
      <c r="F777" s="387"/>
      <c r="G777" s="387"/>
      <c r="H777" s="387"/>
      <c r="I777" s="387"/>
      <c r="K777" s="388"/>
      <c r="L777" s="388"/>
      <c r="N777" s="1"/>
      <c r="O777" s="3"/>
    </row>
    <row r="778" ht="14.25" customHeight="1">
      <c r="A778" s="8"/>
      <c r="D778" s="386"/>
      <c r="E778" s="387"/>
      <c r="F778" s="387"/>
      <c r="G778" s="387"/>
      <c r="H778" s="387"/>
      <c r="I778" s="387"/>
      <c r="K778" s="388"/>
      <c r="L778" s="388"/>
      <c r="N778" s="1"/>
      <c r="O778" s="3"/>
    </row>
    <row r="779" ht="14.25" customHeight="1">
      <c r="A779" s="8"/>
      <c r="D779" s="386"/>
      <c r="E779" s="387"/>
      <c r="F779" s="387"/>
      <c r="G779" s="387"/>
      <c r="H779" s="387"/>
      <c r="I779" s="387"/>
      <c r="K779" s="388"/>
      <c r="L779" s="388"/>
      <c r="N779" s="1"/>
      <c r="O779" s="3"/>
    </row>
    <row r="780" ht="14.25" customHeight="1">
      <c r="A780" s="8"/>
      <c r="D780" s="386"/>
      <c r="E780" s="387"/>
      <c r="F780" s="387"/>
      <c r="G780" s="387"/>
      <c r="H780" s="387"/>
      <c r="I780" s="387"/>
      <c r="K780" s="388"/>
      <c r="L780" s="388"/>
      <c r="N780" s="1"/>
      <c r="O780" s="3"/>
    </row>
    <row r="781" ht="14.25" customHeight="1">
      <c r="A781" s="8"/>
      <c r="D781" s="386"/>
      <c r="E781" s="387"/>
      <c r="F781" s="387"/>
      <c r="G781" s="387"/>
      <c r="H781" s="387"/>
      <c r="I781" s="387"/>
      <c r="K781" s="388"/>
      <c r="L781" s="388"/>
      <c r="N781" s="1"/>
      <c r="O781" s="3"/>
    </row>
    <row r="782" ht="14.25" customHeight="1">
      <c r="A782" s="8"/>
      <c r="D782" s="386"/>
      <c r="E782" s="387"/>
      <c r="F782" s="387"/>
      <c r="G782" s="387"/>
      <c r="H782" s="387"/>
      <c r="I782" s="387"/>
      <c r="K782" s="388"/>
      <c r="L782" s="388"/>
      <c r="N782" s="1"/>
      <c r="O782" s="3"/>
    </row>
    <row r="783" ht="14.25" customHeight="1">
      <c r="A783" s="8"/>
      <c r="D783" s="386"/>
      <c r="E783" s="387"/>
      <c r="F783" s="387"/>
      <c r="G783" s="387"/>
      <c r="H783" s="387"/>
      <c r="I783" s="387"/>
      <c r="K783" s="388"/>
      <c r="L783" s="388"/>
      <c r="N783" s="1"/>
      <c r="O783" s="3"/>
    </row>
    <row r="784" ht="14.25" customHeight="1">
      <c r="A784" s="8"/>
      <c r="D784" s="386"/>
      <c r="E784" s="387"/>
      <c r="F784" s="387"/>
      <c r="G784" s="387"/>
      <c r="H784" s="387"/>
      <c r="I784" s="387"/>
      <c r="K784" s="388"/>
      <c r="L784" s="388"/>
      <c r="N784" s="1"/>
      <c r="O784" s="3"/>
    </row>
    <row r="785" ht="14.25" customHeight="1">
      <c r="A785" s="8"/>
      <c r="D785" s="386"/>
      <c r="E785" s="387"/>
      <c r="F785" s="387"/>
      <c r="G785" s="387"/>
      <c r="H785" s="387"/>
      <c r="I785" s="387"/>
      <c r="K785" s="388"/>
      <c r="L785" s="388"/>
      <c r="N785" s="1"/>
      <c r="O785" s="3"/>
    </row>
    <row r="786" ht="14.25" customHeight="1">
      <c r="A786" s="8"/>
      <c r="D786" s="386"/>
      <c r="E786" s="387"/>
      <c r="F786" s="387"/>
      <c r="G786" s="387"/>
      <c r="H786" s="387"/>
      <c r="I786" s="387"/>
      <c r="K786" s="388"/>
      <c r="L786" s="388"/>
      <c r="N786" s="1"/>
      <c r="O786" s="3"/>
    </row>
    <row r="787" ht="14.25" customHeight="1">
      <c r="A787" s="8"/>
      <c r="D787" s="386"/>
      <c r="E787" s="387"/>
      <c r="F787" s="387"/>
      <c r="G787" s="387"/>
      <c r="H787" s="387"/>
      <c r="I787" s="387"/>
      <c r="K787" s="388"/>
      <c r="L787" s="388"/>
      <c r="N787" s="1"/>
      <c r="O787" s="3"/>
    </row>
    <row r="788" ht="14.25" customHeight="1">
      <c r="A788" s="8"/>
      <c r="D788" s="386"/>
      <c r="E788" s="387"/>
      <c r="F788" s="387"/>
      <c r="G788" s="387"/>
      <c r="H788" s="387"/>
      <c r="I788" s="387"/>
      <c r="K788" s="388"/>
      <c r="L788" s="388"/>
      <c r="N788" s="1"/>
      <c r="O788" s="3"/>
    </row>
    <row r="789" ht="14.25" customHeight="1">
      <c r="A789" s="8"/>
      <c r="D789" s="386"/>
      <c r="E789" s="387"/>
      <c r="F789" s="387"/>
      <c r="G789" s="387"/>
      <c r="H789" s="387"/>
      <c r="I789" s="387"/>
      <c r="K789" s="388"/>
      <c r="L789" s="388"/>
      <c r="N789" s="1"/>
      <c r="O789" s="3"/>
    </row>
    <row r="790" ht="14.25" customHeight="1">
      <c r="A790" s="8"/>
      <c r="D790" s="386"/>
      <c r="E790" s="387"/>
      <c r="F790" s="387"/>
      <c r="G790" s="387"/>
      <c r="H790" s="387"/>
      <c r="I790" s="387"/>
      <c r="K790" s="388"/>
      <c r="L790" s="388"/>
      <c r="N790" s="1"/>
      <c r="O790" s="3"/>
    </row>
    <row r="791" ht="14.25" customHeight="1">
      <c r="A791" s="8"/>
      <c r="D791" s="386"/>
      <c r="E791" s="387"/>
      <c r="F791" s="387"/>
      <c r="G791" s="387"/>
      <c r="H791" s="387"/>
      <c r="I791" s="387"/>
      <c r="K791" s="388"/>
      <c r="L791" s="388"/>
      <c r="N791" s="1"/>
      <c r="O791" s="3"/>
    </row>
    <row r="792" ht="14.25" customHeight="1">
      <c r="A792" s="8"/>
      <c r="D792" s="386"/>
      <c r="E792" s="387"/>
      <c r="F792" s="387"/>
      <c r="G792" s="387"/>
      <c r="H792" s="387"/>
      <c r="I792" s="387"/>
      <c r="K792" s="388"/>
      <c r="L792" s="388"/>
      <c r="N792" s="1"/>
      <c r="O792" s="3"/>
    </row>
    <row r="793" ht="14.25" customHeight="1">
      <c r="A793" s="8"/>
      <c r="D793" s="386"/>
      <c r="E793" s="387"/>
      <c r="F793" s="387"/>
      <c r="G793" s="387"/>
      <c r="H793" s="387"/>
      <c r="I793" s="387"/>
      <c r="K793" s="388"/>
      <c r="L793" s="388"/>
      <c r="N793" s="1"/>
      <c r="O793" s="3"/>
    </row>
    <row r="794" ht="14.25" customHeight="1">
      <c r="A794" s="8"/>
      <c r="D794" s="386"/>
      <c r="E794" s="387"/>
      <c r="F794" s="387"/>
      <c r="G794" s="387"/>
      <c r="H794" s="387"/>
      <c r="I794" s="387"/>
      <c r="K794" s="388"/>
      <c r="L794" s="388"/>
      <c r="N794" s="1"/>
      <c r="O794" s="3"/>
    </row>
    <row r="795" ht="14.25" customHeight="1">
      <c r="A795" s="8"/>
      <c r="D795" s="386"/>
      <c r="E795" s="387"/>
      <c r="F795" s="387"/>
      <c r="G795" s="387"/>
      <c r="H795" s="387"/>
      <c r="I795" s="387"/>
      <c r="K795" s="388"/>
      <c r="L795" s="388"/>
      <c r="N795" s="1"/>
      <c r="O795" s="3"/>
    </row>
    <row r="796" ht="14.25" customHeight="1">
      <c r="A796" s="8"/>
      <c r="D796" s="386"/>
      <c r="E796" s="387"/>
      <c r="F796" s="387"/>
      <c r="G796" s="387"/>
      <c r="H796" s="387"/>
      <c r="I796" s="387"/>
      <c r="K796" s="388"/>
      <c r="L796" s="388"/>
      <c r="N796" s="1"/>
      <c r="O796" s="3"/>
    </row>
    <row r="797" ht="14.25" customHeight="1">
      <c r="A797" s="8"/>
      <c r="D797" s="386"/>
      <c r="E797" s="387"/>
      <c r="F797" s="387"/>
      <c r="G797" s="387"/>
      <c r="H797" s="387"/>
      <c r="I797" s="387"/>
      <c r="K797" s="388"/>
      <c r="L797" s="388"/>
      <c r="N797" s="1"/>
      <c r="O797" s="3"/>
    </row>
    <row r="798" ht="14.25" customHeight="1">
      <c r="A798" s="8"/>
      <c r="D798" s="386"/>
      <c r="E798" s="387"/>
      <c r="F798" s="387"/>
      <c r="G798" s="387"/>
      <c r="H798" s="387"/>
      <c r="I798" s="387"/>
      <c r="K798" s="388"/>
      <c r="L798" s="388"/>
      <c r="N798" s="1"/>
      <c r="O798" s="3"/>
    </row>
    <row r="799" ht="14.25" customHeight="1">
      <c r="A799" s="8"/>
      <c r="D799" s="386"/>
      <c r="E799" s="387"/>
      <c r="F799" s="387"/>
      <c r="G799" s="387"/>
      <c r="H799" s="387"/>
      <c r="I799" s="387"/>
      <c r="K799" s="388"/>
      <c r="L799" s="388"/>
      <c r="N799" s="1"/>
      <c r="O799" s="3"/>
    </row>
    <row r="800" ht="14.25" customHeight="1">
      <c r="A800" s="8"/>
      <c r="D800" s="386"/>
      <c r="E800" s="387"/>
      <c r="F800" s="387"/>
      <c r="G800" s="387"/>
      <c r="H800" s="387"/>
      <c r="I800" s="387"/>
      <c r="K800" s="388"/>
      <c r="L800" s="388"/>
      <c r="N800" s="1"/>
      <c r="O800" s="3"/>
    </row>
    <row r="801" ht="14.25" customHeight="1">
      <c r="A801" s="8"/>
      <c r="D801" s="386"/>
      <c r="E801" s="387"/>
      <c r="F801" s="387"/>
      <c r="G801" s="387"/>
      <c r="H801" s="387"/>
      <c r="I801" s="387"/>
      <c r="K801" s="388"/>
      <c r="L801" s="388"/>
      <c r="N801" s="1"/>
      <c r="O801" s="3"/>
    </row>
    <row r="802" ht="14.25" customHeight="1">
      <c r="A802" s="8"/>
      <c r="D802" s="386"/>
      <c r="E802" s="387"/>
      <c r="F802" s="387"/>
      <c r="G802" s="387"/>
      <c r="H802" s="387"/>
      <c r="I802" s="387"/>
      <c r="K802" s="388"/>
      <c r="L802" s="388"/>
      <c r="N802" s="1"/>
      <c r="O802" s="3"/>
    </row>
    <row r="803" ht="14.25" customHeight="1">
      <c r="A803" s="8"/>
      <c r="D803" s="386"/>
      <c r="E803" s="387"/>
      <c r="F803" s="387"/>
      <c r="G803" s="387"/>
      <c r="H803" s="387"/>
      <c r="I803" s="387"/>
      <c r="K803" s="388"/>
      <c r="L803" s="388"/>
      <c r="N803" s="1"/>
      <c r="O803" s="3"/>
    </row>
    <row r="804" ht="14.25" customHeight="1">
      <c r="A804" s="8"/>
      <c r="D804" s="386"/>
      <c r="E804" s="387"/>
      <c r="F804" s="387"/>
      <c r="G804" s="387"/>
      <c r="H804" s="387"/>
      <c r="I804" s="387"/>
      <c r="K804" s="388"/>
      <c r="L804" s="388"/>
      <c r="N804" s="1"/>
      <c r="O804" s="3"/>
    </row>
    <row r="805" ht="14.25" customHeight="1">
      <c r="A805" s="8"/>
      <c r="D805" s="386"/>
      <c r="E805" s="387"/>
      <c r="F805" s="387"/>
      <c r="G805" s="387"/>
      <c r="H805" s="387"/>
      <c r="I805" s="387"/>
      <c r="K805" s="388"/>
      <c r="L805" s="388"/>
      <c r="N805" s="1"/>
      <c r="O805" s="3"/>
    </row>
    <row r="806" ht="14.25" customHeight="1">
      <c r="A806" s="8"/>
      <c r="D806" s="386"/>
      <c r="E806" s="387"/>
      <c r="F806" s="387"/>
      <c r="G806" s="387"/>
      <c r="H806" s="387"/>
      <c r="I806" s="387"/>
      <c r="K806" s="388"/>
      <c r="L806" s="388"/>
      <c r="N806" s="1"/>
      <c r="O806" s="3"/>
    </row>
    <row r="807" ht="14.25" customHeight="1">
      <c r="A807" s="8"/>
      <c r="D807" s="386"/>
      <c r="E807" s="387"/>
      <c r="F807" s="387"/>
      <c r="G807" s="387"/>
      <c r="H807" s="387"/>
      <c r="I807" s="387"/>
      <c r="K807" s="388"/>
      <c r="L807" s="388"/>
      <c r="N807" s="1"/>
      <c r="O807" s="3"/>
    </row>
    <row r="808" ht="14.25" customHeight="1">
      <c r="A808" s="8"/>
      <c r="D808" s="386"/>
      <c r="E808" s="387"/>
      <c r="F808" s="387"/>
      <c r="G808" s="387"/>
      <c r="H808" s="387"/>
      <c r="I808" s="387"/>
      <c r="K808" s="388"/>
      <c r="L808" s="388"/>
      <c r="N808" s="1"/>
      <c r="O808" s="3"/>
    </row>
    <row r="809" ht="14.25" customHeight="1">
      <c r="A809" s="8"/>
      <c r="D809" s="386"/>
      <c r="E809" s="387"/>
      <c r="F809" s="387"/>
      <c r="G809" s="387"/>
      <c r="H809" s="387"/>
      <c r="I809" s="387"/>
      <c r="K809" s="388"/>
      <c r="L809" s="388"/>
      <c r="N809" s="1"/>
      <c r="O809" s="3"/>
    </row>
    <row r="810" ht="14.25" customHeight="1">
      <c r="A810" s="8"/>
      <c r="D810" s="386"/>
      <c r="E810" s="387"/>
      <c r="F810" s="387"/>
      <c r="G810" s="387"/>
      <c r="H810" s="387"/>
      <c r="I810" s="387"/>
      <c r="K810" s="388"/>
      <c r="L810" s="388"/>
      <c r="N810" s="1"/>
      <c r="O810" s="3"/>
    </row>
    <row r="811" ht="14.25" customHeight="1">
      <c r="A811" s="8"/>
      <c r="D811" s="386"/>
      <c r="E811" s="387"/>
      <c r="F811" s="387"/>
      <c r="G811" s="387"/>
      <c r="H811" s="387"/>
      <c r="I811" s="387"/>
      <c r="K811" s="388"/>
      <c r="L811" s="388"/>
      <c r="N811" s="1"/>
      <c r="O811" s="3"/>
    </row>
    <row r="812" ht="14.25" customHeight="1">
      <c r="A812" s="8"/>
      <c r="D812" s="386"/>
      <c r="E812" s="387"/>
      <c r="F812" s="387"/>
      <c r="G812" s="387"/>
      <c r="H812" s="387"/>
      <c r="I812" s="387"/>
      <c r="K812" s="388"/>
      <c r="L812" s="388"/>
      <c r="N812" s="1"/>
      <c r="O812" s="3"/>
    </row>
    <row r="813" ht="14.25" customHeight="1">
      <c r="A813" s="8"/>
      <c r="D813" s="386"/>
      <c r="E813" s="387"/>
      <c r="F813" s="387"/>
      <c r="G813" s="387"/>
      <c r="H813" s="387"/>
      <c r="I813" s="387"/>
      <c r="K813" s="388"/>
      <c r="L813" s="388"/>
      <c r="N813" s="1"/>
      <c r="O813" s="3"/>
    </row>
    <row r="814" ht="14.25" customHeight="1">
      <c r="A814" s="8"/>
      <c r="D814" s="386"/>
      <c r="E814" s="387"/>
      <c r="F814" s="387"/>
      <c r="G814" s="387"/>
      <c r="H814" s="387"/>
      <c r="I814" s="387"/>
      <c r="K814" s="388"/>
      <c r="L814" s="388"/>
      <c r="N814" s="1"/>
      <c r="O814" s="3"/>
    </row>
    <row r="815" ht="14.25" customHeight="1">
      <c r="A815" s="8"/>
      <c r="D815" s="386"/>
      <c r="E815" s="387"/>
      <c r="F815" s="387"/>
      <c r="G815" s="387"/>
      <c r="H815" s="387"/>
      <c r="I815" s="387"/>
      <c r="K815" s="388"/>
      <c r="L815" s="388"/>
      <c r="N815" s="1"/>
      <c r="O815" s="3"/>
    </row>
    <row r="816" ht="14.25" customHeight="1">
      <c r="A816" s="8"/>
      <c r="D816" s="386"/>
      <c r="E816" s="387"/>
      <c r="F816" s="387"/>
      <c r="G816" s="387"/>
      <c r="H816" s="387"/>
      <c r="I816" s="387"/>
      <c r="K816" s="388"/>
      <c r="L816" s="388"/>
      <c r="N816" s="1"/>
      <c r="O816" s="3"/>
    </row>
    <row r="817" ht="14.25" customHeight="1">
      <c r="A817" s="8"/>
      <c r="D817" s="386"/>
      <c r="E817" s="387"/>
      <c r="F817" s="387"/>
      <c r="G817" s="387"/>
      <c r="H817" s="387"/>
      <c r="I817" s="387"/>
      <c r="K817" s="388"/>
      <c r="L817" s="388"/>
      <c r="N817" s="1"/>
      <c r="O817" s="3"/>
    </row>
    <row r="818" ht="14.25" customHeight="1">
      <c r="A818" s="8"/>
      <c r="D818" s="386"/>
      <c r="E818" s="387"/>
      <c r="F818" s="387"/>
      <c r="G818" s="387"/>
      <c r="H818" s="387"/>
      <c r="I818" s="387"/>
      <c r="K818" s="388"/>
      <c r="L818" s="388"/>
      <c r="N818" s="1"/>
      <c r="O818" s="3"/>
    </row>
    <row r="819" ht="14.25" customHeight="1">
      <c r="A819" s="8"/>
      <c r="D819" s="386"/>
      <c r="E819" s="387"/>
      <c r="F819" s="387"/>
      <c r="G819" s="387"/>
      <c r="H819" s="387"/>
      <c r="I819" s="387"/>
      <c r="K819" s="388"/>
      <c r="L819" s="388"/>
      <c r="N819" s="1"/>
      <c r="O819" s="3"/>
    </row>
    <row r="820" ht="14.25" customHeight="1">
      <c r="A820" s="8"/>
      <c r="D820" s="386"/>
      <c r="E820" s="387"/>
      <c r="F820" s="387"/>
      <c r="G820" s="387"/>
      <c r="H820" s="387"/>
      <c r="I820" s="387"/>
      <c r="K820" s="388"/>
      <c r="L820" s="388"/>
      <c r="N820" s="1"/>
      <c r="O820" s="3"/>
    </row>
    <row r="821" ht="14.25" customHeight="1">
      <c r="A821" s="8"/>
      <c r="D821" s="386"/>
      <c r="E821" s="387"/>
      <c r="F821" s="387"/>
      <c r="G821" s="387"/>
      <c r="H821" s="387"/>
      <c r="I821" s="387"/>
      <c r="K821" s="388"/>
      <c r="L821" s="388"/>
      <c r="N821" s="1"/>
      <c r="O821" s="3"/>
    </row>
    <row r="822" ht="14.25" customHeight="1">
      <c r="A822" s="8"/>
      <c r="D822" s="386"/>
      <c r="E822" s="387"/>
      <c r="F822" s="387"/>
      <c r="G822" s="387"/>
      <c r="H822" s="387"/>
      <c r="I822" s="387"/>
      <c r="K822" s="388"/>
      <c r="L822" s="388"/>
      <c r="N822" s="1"/>
      <c r="O822" s="3"/>
    </row>
    <row r="823" ht="14.25" customHeight="1">
      <c r="A823" s="8"/>
      <c r="D823" s="386"/>
      <c r="E823" s="387"/>
      <c r="F823" s="387"/>
      <c r="G823" s="387"/>
      <c r="H823" s="387"/>
      <c r="I823" s="387"/>
      <c r="K823" s="388"/>
      <c r="L823" s="388"/>
      <c r="N823" s="1"/>
      <c r="O823" s="3"/>
    </row>
    <row r="824" ht="14.25" customHeight="1">
      <c r="A824" s="8"/>
      <c r="D824" s="386"/>
      <c r="E824" s="387"/>
      <c r="F824" s="387"/>
      <c r="G824" s="387"/>
      <c r="H824" s="387"/>
      <c r="I824" s="387"/>
      <c r="K824" s="388"/>
      <c r="L824" s="388"/>
      <c r="N824" s="1"/>
      <c r="O824" s="3"/>
    </row>
    <row r="825" ht="14.25" customHeight="1">
      <c r="A825" s="8"/>
      <c r="D825" s="386"/>
      <c r="E825" s="387"/>
      <c r="F825" s="387"/>
      <c r="G825" s="387"/>
      <c r="H825" s="387"/>
      <c r="I825" s="387"/>
      <c r="K825" s="388"/>
      <c r="L825" s="388"/>
      <c r="N825" s="1"/>
      <c r="O825" s="3"/>
    </row>
    <row r="826" ht="14.25" customHeight="1">
      <c r="A826" s="8"/>
      <c r="D826" s="386"/>
      <c r="E826" s="387"/>
      <c r="F826" s="387"/>
      <c r="G826" s="387"/>
      <c r="H826" s="387"/>
      <c r="I826" s="387"/>
      <c r="K826" s="388"/>
      <c r="L826" s="388"/>
      <c r="N826" s="1"/>
      <c r="O826" s="3"/>
    </row>
    <row r="827" ht="14.25" customHeight="1">
      <c r="A827" s="8"/>
      <c r="D827" s="386"/>
      <c r="E827" s="387"/>
      <c r="F827" s="387"/>
      <c r="G827" s="387"/>
      <c r="H827" s="387"/>
      <c r="I827" s="387"/>
      <c r="K827" s="388"/>
      <c r="L827" s="388"/>
      <c r="N827" s="1"/>
      <c r="O827" s="3"/>
    </row>
    <row r="828" ht="14.25" customHeight="1">
      <c r="A828" s="8"/>
      <c r="D828" s="386"/>
      <c r="E828" s="387"/>
      <c r="F828" s="387"/>
      <c r="G828" s="387"/>
      <c r="H828" s="387"/>
      <c r="I828" s="387"/>
      <c r="K828" s="388"/>
      <c r="L828" s="388"/>
      <c r="N828" s="1"/>
      <c r="O828" s="3"/>
    </row>
    <row r="829" ht="14.25" customHeight="1">
      <c r="A829" s="8"/>
      <c r="D829" s="386"/>
      <c r="E829" s="387"/>
      <c r="F829" s="387"/>
      <c r="G829" s="387"/>
      <c r="H829" s="387"/>
      <c r="I829" s="387"/>
      <c r="K829" s="388"/>
      <c r="L829" s="388"/>
      <c r="N829" s="1"/>
      <c r="O829" s="3"/>
    </row>
    <row r="830" ht="14.25" customHeight="1">
      <c r="A830" s="8"/>
      <c r="D830" s="386"/>
      <c r="E830" s="387"/>
      <c r="F830" s="387"/>
      <c r="G830" s="387"/>
      <c r="H830" s="387"/>
      <c r="I830" s="387"/>
      <c r="K830" s="388"/>
      <c r="L830" s="388"/>
      <c r="N830" s="1"/>
      <c r="O830" s="3"/>
    </row>
    <row r="831" ht="14.25" customHeight="1">
      <c r="A831" s="8"/>
      <c r="D831" s="386"/>
      <c r="E831" s="387"/>
      <c r="F831" s="387"/>
      <c r="G831" s="387"/>
      <c r="H831" s="387"/>
      <c r="I831" s="387"/>
      <c r="K831" s="388"/>
      <c r="L831" s="388"/>
      <c r="N831" s="1"/>
      <c r="O831" s="3"/>
    </row>
    <row r="832" ht="14.25" customHeight="1">
      <c r="A832" s="8"/>
      <c r="D832" s="386"/>
      <c r="E832" s="387"/>
      <c r="F832" s="387"/>
      <c r="G832" s="387"/>
      <c r="H832" s="387"/>
      <c r="I832" s="387"/>
      <c r="K832" s="388"/>
      <c r="L832" s="388"/>
      <c r="N832" s="1"/>
      <c r="O832" s="3"/>
    </row>
    <row r="833" ht="14.25" customHeight="1">
      <c r="A833" s="8"/>
      <c r="D833" s="386"/>
      <c r="E833" s="387"/>
      <c r="F833" s="387"/>
      <c r="G833" s="387"/>
      <c r="H833" s="387"/>
      <c r="I833" s="387"/>
      <c r="K833" s="388"/>
      <c r="L833" s="388"/>
      <c r="N833" s="1"/>
      <c r="O833" s="3"/>
    </row>
    <row r="834" ht="14.25" customHeight="1">
      <c r="A834" s="8"/>
      <c r="D834" s="386"/>
      <c r="E834" s="387"/>
      <c r="F834" s="387"/>
      <c r="G834" s="387"/>
      <c r="H834" s="387"/>
      <c r="I834" s="387"/>
      <c r="K834" s="388"/>
      <c r="L834" s="388"/>
      <c r="N834" s="1"/>
      <c r="O834" s="3"/>
    </row>
    <row r="835" ht="14.25" customHeight="1">
      <c r="A835" s="8"/>
      <c r="D835" s="386"/>
      <c r="E835" s="387"/>
      <c r="F835" s="387"/>
      <c r="G835" s="387"/>
      <c r="H835" s="387"/>
      <c r="I835" s="387"/>
      <c r="K835" s="388"/>
      <c r="L835" s="388"/>
      <c r="N835" s="1"/>
      <c r="O835" s="3"/>
    </row>
    <row r="836" ht="14.25" customHeight="1">
      <c r="A836" s="8"/>
      <c r="D836" s="386"/>
      <c r="E836" s="387"/>
      <c r="F836" s="387"/>
      <c r="G836" s="387"/>
      <c r="H836" s="387"/>
      <c r="I836" s="387"/>
      <c r="K836" s="388"/>
      <c r="L836" s="388"/>
      <c r="N836" s="1"/>
      <c r="O836" s="3"/>
    </row>
    <row r="837" ht="14.25" customHeight="1">
      <c r="A837" s="8"/>
      <c r="D837" s="386"/>
      <c r="E837" s="387"/>
      <c r="F837" s="387"/>
      <c r="G837" s="387"/>
      <c r="H837" s="387"/>
      <c r="I837" s="387"/>
      <c r="K837" s="388"/>
      <c r="L837" s="388"/>
      <c r="N837" s="1"/>
      <c r="O837" s="3"/>
    </row>
    <row r="838" ht="14.25" customHeight="1">
      <c r="A838" s="8"/>
      <c r="D838" s="386"/>
      <c r="E838" s="387"/>
      <c r="F838" s="387"/>
      <c r="G838" s="387"/>
      <c r="H838" s="387"/>
      <c r="I838" s="387"/>
      <c r="K838" s="388"/>
      <c r="L838" s="388"/>
      <c r="N838" s="1"/>
      <c r="O838" s="3"/>
    </row>
    <row r="839" ht="14.25" customHeight="1">
      <c r="A839" s="8"/>
      <c r="D839" s="386"/>
      <c r="E839" s="387"/>
      <c r="F839" s="387"/>
      <c r="G839" s="387"/>
      <c r="H839" s="387"/>
      <c r="I839" s="387"/>
      <c r="K839" s="388"/>
      <c r="L839" s="388"/>
      <c r="N839" s="1"/>
      <c r="O839" s="3"/>
    </row>
    <row r="840" ht="14.25" customHeight="1">
      <c r="A840" s="8"/>
      <c r="D840" s="386"/>
      <c r="E840" s="387"/>
      <c r="F840" s="387"/>
      <c r="G840" s="387"/>
      <c r="H840" s="387"/>
      <c r="I840" s="387"/>
      <c r="K840" s="388"/>
      <c r="L840" s="388"/>
      <c r="N840" s="1"/>
      <c r="O840" s="3"/>
    </row>
    <row r="841" ht="14.25" customHeight="1">
      <c r="A841" s="8"/>
      <c r="D841" s="386"/>
      <c r="E841" s="387"/>
      <c r="F841" s="387"/>
      <c r="G841" s="387"/>
      <c r="H841" s="387"/>
      <c r="I841" s="387"/>
      <c r="K841" s="388"/>
      <c r="L841" s="388"/>
      <c r="N841" s="1"/>
      <c r="O841" s="3"/>
    </row>
    <row r="842" ht="14.25" customHeight="1">
      <c r="A842" s="8"/>
      <c r="D842" s="386"/>
      <c r="E842" s="387"/>
      <c r="F842" s="387"/>
      <c r="G842" s="387"/>
      <c r="H842" s="387"/>
      <c r="I842" s="387"/>
      <c r="K842" s="388"/>
      <c r="L842" s="388"/>
      <c r="N842" s="1"/>
      <c r="O842" s="3"/>
    </row>
    <row r="843" ht="14.25" customHeight="1">
      <c r="A843" s="8"/>
      <c r="D843" s="386"/>
      <c r="E843" s="387"/>
      <c r="F843" s="387"/>
      <c r="G843" s="387"/>
      <c r="H843" s="387"/>
      <c r="I843" s="387"/>
      <c r="K843" s="388"/>
      <c r="L843" s="388"/>
      <c r="N843" s="1"/>
      <c r="O843" s="3"/>
    </row>
    <row r="844" ht="14.25" customHeight="1">
      <c r="A844" s="8"/>
      <c r="D844" s="386"/>
      <c r="E844" s="387"/>
      <c r="F844" s="387"/>
      <c r="G844" s="387"/>
      <c r="H844" s="387"/>
      <c r="I844" s="387"/>
      <c r="K844" s="388"/>
      <c r="L844" s="388"/>
      <c r="N844" s="1"/>
      <c r="O844" s="3"/>
    </row>
    <row r="845" ht="14.25" customHeight="1">
      <c r="A845" s="8"/>
      <c r="D845" s="386"/>
      <c r="E845" s="387"/>
      <c r="F845" s="387"/>
      <c r="G845" s="387"/>
      <c r="H845" s="387"/>
      <c r="I845" s="387"/>
      <c r="K845" s="388"/>
      <c r="L845" s="388"/>
      <c r="N845" s="1"/>
      <c r="O845" s="3"/>
    </row>
    <row r="846" ht="14.25" customHeight="1">
      <c r="A846" s="8"/>
      <c r="D846" s="386"/>
      <c r="E846" s="387"/>
      <c r="F846" s="387"/>
      <c r="G846" s="387"/>
      <c r="H846" s="387"/>
      <c r="I846" s="387"/>
      <c r="K846" s="388"/>
      <c r="L846" s="388"/>
      <c r="N846" s="1"/>
      <c r="O846" s="3"/>
    </row>
    <row r="847" ht="14.25" customHeight="1">
      <c r="A847" s="8"/>
      <c r="D847" s="386"/>
      <c r="E847" s="387"/>
      <c r="F847" s="387"/>
      <c r="G847" s="387"/>
      <c r="H847" s="387"/>
      <c r="I847" s="387"/>
      <c r="K847" s="388"/>
      <c r="L847" s="388"/>
      <c r="N847" s="1"/>
      <c r="O847" s="3"/>
    </row>
    <row r="848" ht="14.25" customHeight="1">
      <c r="A848" s="8"/>
      <c r="D848" s="386"/>
      <c r="E848" s="387"/>
      <c r="F848" s="387"/>
      <c r="G848" s="387"/>
      <c r="H848" s="387"/>
      <c r="I848" s="387"/>
      <c r="K848" s="388"/>
      <c r="L848" s="388"/>
      <c r="N848" s="1"/>
      <c r="O848" s="3"/>
    </row>
    <row r="849" ht="14.25" customHeight="1">
      <c r="A849" s="8"/>
      <c r="D849" s="386"/>
      <c r="E849" s="387"/>
      <c r="F849" s="387"/>
      <c r="G849" s="387"/>
      <c r="H849" s="387"/>
      <c r="I849" s="387"/>
      <c r="K849" s="388"/>
      <c r="L849" s="388"/>
      <c r="N849" s="1"/>
      <c r="O849" s="3"/>
    </row>
    <row r="850" ht="14.25" customHeight="1">
      <c r="A850" s="8"/>
      <c r="D850" s="386"/>
      <c r="E850" s="387"/>
      <c r="F850" s="387"/>
      <c r="G850" s="387"/>
      <c r="H850" s="387"/>
      <c r="I850" s="387"/>
      <c r="K850" s="388"/>
      <c r="L850" s="388"/>
      <c r="N850" s="1"/>
      <c r="O850" s="3"/>
    </row>
    <row r="851" ht="14.25" customHeight="1">
      <c r="A851" s="8"/>
      <c r="D851" s="386"/>
      <c r="E851" s="387"/>
      <c r="F851" s="387"/>
      <c r="G851" s="387"/>
      <c r="H851" s="387"/>
      <c r="I851" s="387"/>
      <c r="K851" s="388"/>
      <c r="L851" s="388"/>
      <c r="N851" s="1"/>
      <c r="O851" s="3"/>
    </row>
    <row r="852" ht="14.25" customHeight="1">
      <c r="A852" s="8"/>
      <c r="D852" s="386"/>
      <c r="E852" s="387"/>
      <c r="F852" s="387"/>
      <c r="G852" s="387"/>
      <c r="H852" s="387"/>
      <c r="I852" s="387"/>
      <c r="K852" s="388"/>
      <c r="L852" s="388"/>
      <c r="N852" s="1"/>
      <c r="O852" s="3"/>
    </row>
    <row r="853" ht="14.25" customHeight="1">
      <c r="A853" s="8"/>
      <c r="D853" s="386"/>
      <c r="E853" s="387"/>
      <c r="F853" s="387"/>
      <c r="G853" s="387"/>
      <c r="H853" s="387"/>
      <c r="I853" s="387"/>
      <c r="K853" s="388"/>
      <c r="L853" s="388"/>
      <c r="N853" s="1"/>
      <c r="O853" s="3"/>
    </row>
    <row r="854" ht="14.25" customHeight="1">
      <c r="A854" s="8"/>
      <c r="D854" s="386"/>
      <c r="E854" s="387"/>
      <c r="F854" s="387"/>
      <c r="G854" s="387"/>
      <c r="H854" s="387"/>
      <c r="I854" s="387"/>
      <c r="K854" s="388"/>
      <c r="L854" s="388"/>
      <c r="N854" s="1"/>
      <c r="O854" s="3"/>
    </row>
    <row r="855" ht="14.25" customHeight="1">
      <c r="A855" s="8"/>
      <c r="D855" s="386"/>
      <c r="E855" s="387"/>
      <c r="F855" s="387"/>
      <c r="G855" s="387"/>
      <c r="H855" s="387"/>
      <c r="I855" s="387"/>
      <c r="K855" s="388"/>
      <c r="L855" s="388"/>
      <c r="N855" s="1"/>
      <c r="O855" s="3"/>
    </row>
    <row r="856" ht="14.25" customHeight="1">
      <c r="A856" s="8"/>
      <c r="D856" s="386"/>
      <c r="E856" s="387"/>
      <c r="F856" s="387"/>
      <c r="G856" s="387"/>
      <c r="H856" s="387"/>
      <c r="I856" s="387"/>
      <c r="K856" s="388"/>
      <c r="L856" s="388"/>
      <c r="N856" s="1"/>
      <c r="O856" s="3"/>
    </row>
    <row r="857" ht="14.25" customHeight="1">
      <c r="A857" s="8"/>
      <c r="D857" s="386"/>
      <c r="E857" s="387"/>
      <c r="F857" s="387"/>
      <c r="G857" s="387"/>
      <c r="H857" s="387"/>
      <c r="I857" s="387"/>
      <c r="K857" s="388"/>
      <c r="L857" s="388"/>
      <c r="N857" s="1"/>
      <c r="O857" s="3"/>
    </row>
    <row r="858" ht="14.25" customHeight="1">
      <c r="A858" s="8"/>
      <c r="D858" s="386"/>
      <c r="E858" s="387"/>
      <c r="F858" s="387"/>
      <c r="G858" s="387"/>
      <c r="H858" s="387"/>
      <c r="I858" s="387"/>
      <c r="K858" s="388"/>
      <c r="L858" s="388"/>
      <c r="N858" s="1"/>
      <c r="O858" s="3"/>
    </row>
    <row r="859" ht="14.25" customHeight="1">
      <c r="A859" s="8"/>
      <c r="D859" s="386"/>
      <c r="E859" s="387"/>
      <c r="F859" s="387"/>
      <c r="G859" s="387"/>
      <c r="H859" s="387"/>
      <c r="I859" s="387"/>
      <c r="K859" s="388"/>
      <c r="L859" s="388"/>
      <c r="N859" s="1"/>
      <c r="O859" s="3"/>
    </row>
    <row r="860" ht="14.25" customHeight="1">
      <c r="A860" s="8"/>
      <c r="D860" s="386"/>
      <c r="E860" s="387"/>
      <c r="F860" s="387"/>
      <c r="G860" s="387"/>
      <c r="H860" s="387"/>
      <c r="I860" s="387"/>
      <c r="K860" s="388"/>
      <c r="L860" s="388"/>
      <c r="N860" s="1"/>
      <c r="O860" s="3"/>
    </row>
    <row r="861" ht="14.25" customHeight="1">
      <c r="A861" s="8"/>
      <c r="D861" s="386"/>
      <c r="E861" s="387"/>
      <c r="F861" s="387"/>
      <c r="G861" s="387"/>
      <c r="H861" s="387"/>
      <c r="I861" s="387"/>
      <c r="K861" s="388"/>
      <c r="L861" s="388"/>
      <c r="N861" s="1"/>
      <c r="O861" s="3"/>
    </row>
    <row r="862" ht="14.25" customHeight="1">
      <c r="A862" s="8"/>
      <c r="D862" s="386"/>
      <c r="E862" s="387"/>
      <c r="F862" s="387"/>
      <c r="G862" s="387"/>
      <c r="H862" s="387"/>
      <c r="I862" s="387"/>
      <c r="K862" s="388"/>
      <c r="L862" s="388"/>
      <c r="N862" s="1"/>
      <c r="O862" s="3"/>
    </row>
    <row r="863" ht="14.25" customHeight="1">
      <c r="A863" s="8"/>
      <c r="D863" s="386"/>
      <c r="E863" s="387"/>
      <c r="F863" s="387"/>
      <c r="G863" s="387"/>
      <c r="H863" s="387"/>
      <c r="I863" s="387"/>
      <c r="K863" s="388"/>
      <c r="L863" s="388"/>
      <c r="N863" s="1"/>
      <c r="O863" s="3"/>
    </row>
    <row r="864" ht="14.25" customHeight="1">
      <c r="A864" s="8"/>
      <c r="D864" s="386"/>
      <c r="E864" s="387"/>
      <c r="F864" s="387"/>
      <c r="G864" s="387"/>
      <c r="H864" s="387"/>
      <c r="I864" s="387"/>
      <c r="K864" s="388"/>
      <c r="L864" s="388"/>
      <c r="N864" s="1"/>
      <c r="O864" s="3"/>
    </row>
    <row r="865" ht="14.25" customHeight="1">
      <c r="A865" s="8"/>
      <c r="D865" s="386"/>
      <c r="E865" s="387"/>
      <c r="F865" s="387"/>
      <c r="G865" s="387"/>
      <c r="H865" s="387"/>
      <c r="I865" s="387"/>
      <c r="K865" s="388"/>
      <c r="L865" s="388"/>
      <c r="N865" s="1"/>
      <c r="O865" s="3"/>
    </row>
    <row r="866" ht="14.25" customHeight="1">
      <c r="A866" s="8"/>
      <c r="D866" s="386"/>
      <c r="E866" s="387"/>
      <c r="F866" s="387"/>
      <c r="G866" s="387"/>
      <c r="H866" s="387"/>
      <c r="I866" s="387"/>
      <c r="K866" s="388"/>
      <c r="L866" s="388"/>
      <c r="N866" s="1"/>
      <c r="O866" s="3"/>
    </row>
    <row r="867" ht="14.25" customHeight="1">
      <c r="A867" s="8"/>
      <c r="D867" s="386"/>
      <c r="E867" s="387"/>
      <c r="F867" s="387"/>
      <c r="G867" s="387"/>
      <c r="H867" s="387"/>
      <c r="I867" s="387"/>
      <c r="K867" s="388"/>
      <c r="L867" s="388"/>
      <c r="N867" s="1"/>
      <c r="O867" s="3"/>
    </row>
    <row r="868" ht="14.25" customHeight="1">
      <c r="A868" s="8"/>
      <c r="D868" s="386"/>
      <c r="E868" s="387"/>
      <c r="F868" s="387"/>
      <c r="G868" s="387"/>
      <c r="H868" s="387"/>
      <c r="I868" s="387"/>
      <c r="K868" s="388"/>
      <c r="L868" s="388"/>
      <c r="N868" s="1"/>
      <c r="O868" s="3"/>
    </row>
    <row r="869" ht="14.25" customHeight="1">
      <c r="A869" s="8"/>
      <c r="D869" s="386"/>
      <c r="E869" s="387"/>
      <c r="F869" s="387"/>
      <c r="G869" s="387"/>
      <c r="H869" s="387"/>
      <c r="I869" s="387"/>
      <c r="K869" s="388"/>
      <c r="L869" s="388"/>
      <c r="N869" s="1"/>
      <c r="O869" s="3"/>
    </row>
    <row r="870" ht="14.25" customHeight="1">
      <c r="A870" s="8"/>
      <c r="D870" s="386"/>
      <c r="E870" s="387"/>
      <c r="F870" s="387"/>
      <c r="G870" s="387"/>
      <c r="H870" s="387"/>
      <c r="I870" s="387"/>
      <c r="K870" s="388"/>
      <c r="L870" s="388"/>
      <c r="N870" s="1"/>
      <c r="O870" s="3"/>
    </row>
    <row r="871" ht="14.25" customHeight="1">
      <c r="A871" s="8"/>
      <c r="D871" s="386"/>
      <c r="E871" s="387"/>
      <c r="F871" s="387"/>
      <c r="G871" s="387"/>
      <c r="H871" s="387"/>
      <c r="I871" s="387"/>
      <c r="K871" s="388"/>
      <c r="L871" s="388"/>
      <c r="N871" s="1"/>
      <c r="O871" s="3"/>
    </row>
    <row r="872" ht="14.25" customHeight="1">
      <c r="A872" s="8"/>
      <c r="D872" s="386"/>
      <c r="E872" s="387"/>
      <c r="F872" s="387"/>
      <c r="G872" s="387"/>
      <c r="H872" s="387"/>
      <c r="I872" s="387"/>
      <c r="K872" s="388"/>
      <c r="L872" s="388"/>
      <c r="N872" s="1"/>
      <c r="O872" s="3"/>
    </row>
    <row r="873" ht="14.25" customHeight="1">
      <c r="A873" s="8"/>
      <c r="D873" s="386"/>
      <c r="E873" s="387"/>
      <c r="F873" s="387"/>
      <c r="G873" s="387"/>
      <c r="H873" s="387"/>
      <c r="I873" s="387"/>
      <c r="K873" s="388"/>
      <c r="L873" s="388"/>
      <c r="N873" s="1"/>
      <c r="O873" s="3"/>
    </row>
    <row r="874" ht="14.25" customHeight="1">
      <c r="A874" s="8"/>
      <c r="D874" s="386"/>
      <c r="E874" s="387"/>
      <c r="F874" s="387"/>
      <c r="G874" s="387"/>
      <c r="H874" s="387"/>
      <c r="I874" s="387"/>
      <c r="K874" s="388"/>
      <c r="L874" s="388"/>
      <c r="N874" s="1"/>
      <c r="O874" s="3"/>
    </row>
    <row r="875" ht="14.25" customHeight="1">
      <c r="A875" s="8"/>
      <c r="D875" s="386"/>
      <c r="E875" s="387"/>
      <c r="F875" s="387"/>
      <c r="G875" s="387"/>
      <c r="H875" s="387"/>
      <c r="I875" s="387"/>
      <c r="K875" s="388"/>
      <c r="L875" s="388"/>
      <c r="N875" s="1"/>
      <c r="O875" s="3"/>
    </row>
    <row r="876" ht="14.25" customHeight="1">
      <c r="A876" s="8"/>
      <c r="D876" s="386"/>
      <c r="E876" s="387"/>
      <c r="F876" s="387"/>
      <c r="G876" s="387"/>
      <c r="H876" s="387"/>
      <c r="I876" s="387"/>
      <c r="K876" s="388"/>
      <c r="L876" s="388"/>
      <c r="N876" s="1"/>
      <c r="O876" s="3"/>
    </row>
    <row r="877" ht="14.25" customHeight="1">
      <c r="A877" s="8"/>
      <c r="D877" s="386"/>
      <c r="E877" s="387"/>
      <c r="F877" s="387"/>
      <c r="G877" s="387"/>
      <c r="H877" s="387"/>
      <c r="I877" s="387"/>
      <c r="K877" s="388"/>
      <c r="L877" s="388"/>
      <c r="N877" s="1"/>
      <c r="O877" s="3"/>
    </row>
    <row r="878" ht="14.25" customHeight="1">
      <c r="A878" s="8"/>
      <c r="D878" s="386"/>
      <c r="E878" s="387"/>
      <c r="F878" s="387"/>
      <c r="G878" s="387"/>
      <c r="H878" s="387"/>
      <c r="I878" s="387"/>
      <c r="K878" s="388"/>
      <c r="L878" s="388"/>
      <c r="N878" s="1"/>
      <c r="O878" s="3"/>
    </row>
    <row r="879" ht="14.25" customHeight="1">
      <c r="A879" s="8"/>
      <c r="D879" s="386"/>
      <c r="E879" s="387"/>
      <c r="F879" s="387"/>
      <c r="G879" s="387"/>
      <c r="H879" s="387"/>
      <c r="I879" s="387"/>
      <c r="K879" s="388"/>
      <c r="L879" s="388"/>
      <c r="N879" s="1"/>
      <c r="O879" s="3"/>
    </row>
    <row r="880" ht="14.25" customHeight="1">
      <c r="A880" s="8"/>
      <c r="D880" s="386"/>
      <c r="E880" s="387"/>
      <c r="F880" s="387"/>
      <c r="G880" s="387"/>
      <c r="H880" s="387"/>
      <c r="I880" s="387"/>
      <c r="K880" s="388"/>
      <c r="L880" s="388"/>
      <c r="N880" s="1"/>
      <c r="O880" s="3"/>
    </row>
    <row r="881" ht="14.25" customHeight="1">
      <c r="A881" s="8"/>
      <c r="D881" s="386"/>
      <c r="E881" s="387"/>
      <c r="F881" s="387"/>
      <c r="G881" s="387"/>
      <c r="H881" s="387"/>
      <c r="I881" s="387"/>
      <c r="K881" s="388"/>
      <c r="L881" s="388"/>
      <c r="N881" s="1"/>
      <c r="O881" s="3"/>
    </row>
    <row r="882" ht="14.25" customHeight="1">
      <c r="A882" s="8"/>
      <c r="D882" s="386"/>
      <c r="E882" s="387"/>
      <c r="F882" s="387"/>
      <c r="G882" s="387"/>
      <c r="H882" s="387"/>
      <c r="I882" s="387"/>
      <c r="K882" s="388"/>
      <c r="L882" s="388"/>
      <c r="N882" s="1"/>
      <c r="O882" s="3"/>
    </row>
    <row r="883" ht="14.25" customHeight="1">
      <c r="A883" s="8"/>
      <c r="D883" s="386"/>
      <c r="E883" s="387"/>
      <c r="F883" s="387"/>
      <c r="G883" s="387"/>
      <c r="H883" s="387"/>
      <c r="I883" s="387"/>
      <c r="K883" s="388"/>
      <c r="L883" s="388"/>
      <c r="N883" s="1"/>
      <c r="O883" s="3"/>
    </row>
    <row r="884" ht="14.25" customHeight="1">
      <c r="A884" s="8"/>
      <c r="D884" s="386"/>
      <c r="E884" s="387"/>
      <c r="F884" s="387"/>
      <c r="G884" s="387"/>
      <c r="H884" s="387"/>
      <c r="I884" s="387"/>
      <c r="K884" s="388"/>
      <c r="L884" s="388"/>
      <c r="N884" s="1"/>
      <c r="O884" s="3"/>
    </row>
    <row r="885" ht="14.25" customHeight="1">
      <c r="A885" s="8"/>
      <c r="D885" s="386"/>
      <c r="E885" s="387"/>
      <c r="F885" s="387"/>
      <c r="G885" s="387"/>
      <c r="H885" s="387"/>
      <c r="I885" s="387"/>
      <c r="K885" s="388"/>
      <c r="L885" s="388"/>
      <c r="N885" s="1"/>
      <c r="O885" s="3"/>
    </row>
    <row r="886" ht="14.25" customHeight="1">
      <c r="A886" s="8"/>
      <c r="D886" s="386"/>
      <c r="E886" s="387"/>
      <c r="F886" s="387"/>
      <c r="G886" s="387"/>
      <c r="H886" s="387"/>
      <c r="I886" s="387"/>
      <c r="K886" s="388"/>
      <c r="L886" s="388"/>
      <c r="N886" s="1"/>
      <c r="O886" s="3"/>
    </row>
    <row r="887" ht="14.25" customHeight="1">
      <c r="A887" s="8"/>
      <c r="D887" s="386"/>
      <c r="E887" s="387"/>
      <c r="F887" s="387"/>
      <c r="G887" s="387"/>
      <c r="H887" s="387"/>
      <c r="I887" s="387"/>
      <c r="K887" s="388"/>
      <c r="L887" s="388"/>
      <c r="N887" s="1"/>
      <c r="O887" s="3"/>
    </row>
    <row r="888" ht="14.25" customHeight="1">
      <c r="A888" s="8"/>
      <c r="D888" s="386"/>
      <c r="E888" s="387"/>
      <c r="F888" s="387"/>
      <c r="G888" s="387"/>
      <c r="H888" s="387"/>
      <c r="I888" s="387"/>
      <c r="K888" s="388"/>
      <c r="L888" s="388"/>
      <c r="N888" s="1"/>
      <c r="O888" s="3"/>
    </row>
    <row r="889" ht="14.25" customHeight="1">
      <c r="A889" s="8"/>
      <c r="D889" s="386"/>
      <c r="E889" s="387"/>
      <c r="F889" s="387"/>
      <c r="G889" s="387"/>
      <c r="H889" s="387"/>
      <c r="I889" s="387"/>
      <c r="K889" s="388"/>
      <c r="L889" s="388"/>
      <c r="N889" s="1"/>
      <c r="O889" s="3"/>
    </row>
    <row r="890" ht="14.25" customHeight="1">
      <c r="A890" s="8"/>
      <c r="D890" s="386"/>
      <c r="E890" s="387"/>
      <c r="F890" s="387"/>
      <c r="G890" s="387"/>
      <c r="H890" s="387"/>
      <c r="I890" s="387"/>
      <c r="K890" s="388"/>
      <c r="L890" s="388"/>
      <c r="N890" s="1"/>
      <c r="O890" s="3"/>
    </row>
    <row r="891" ht="14.25" customHeight="1">
      <c r="A891" s="8"/>
      <c r="D891" s="386"/>
      <c r="E891" s="387"/>
      <c r="F891" s="387"/>
      <c r="G891" s="387"/>
      <c r="H891" s="387"/>
      <c r="I891" s="387"/>
      <c r="K891" s="388"/>
      <c r="L891" s="388"/>
      <c r="N891" s="1"/>
      <c r="O891" s="3"/>
    </row>
    <row r="892" ht="14.25" customHeight="1">
      <c r="A892" s="8"/>
      <c r="D892" s="386"/>
      <c r="E892" s="387"/>
      <c r="F892" s="387"/>
      <c r="G892" s="387"/>
      <c r="H892" s="387"/>
      <c r="I892" s="387"/>
      <c r="K892" s="388"/>
      <c r="L892" s="388"/>
      <c r="N892" s="1"/>
      <c r="O892" s="3"/>
    </row>
    <row r="893" ht="14.25" customHeight="1">
      <c r="A893" s="8"/>
      <c r="D893" s="386"/>
      <c r="E893" s="387"/>
      <c r="F893" s="387"/>
      <c r="G893" s="387"/>
      <c r="H893" s="387"/>
      <c r="I893" s="387"/>
      <c r="K893" s="388"/>
      <c r="L893" s="388"/>
      <c r="N893" s="1"/>
      <c r="O893" s="3"/>
    </row>
    <row r="894" ht="14.25" customHeight="1">
      <c r="A894" s="8"/>
      <c r="D894" s="386"/>
      <c r="E894" s="387"/>
      <c r="F894" s="387"/>
      <c r="G894" s="387"/>
      <c r="H894" s="387"/>
      <c r="I894" s="387"/>
      <c r="K894" s="388"/>
      <c r="L894" s="388"/>
      <c r="N894" s="1"/>
      <c r="O894" s="3"/>
    </row>
    <row r="895" ht="14.25" customHeight="1">
      <c r="A895" s="8"/>
      <c r="D895" s="386"/>
      <c r="E895" s="387"/>
      <c r="F895" s="387"/>
      <c r="G895" s="387"/>
      <c r="H895" s="387"/>
      <c r="I895" s="387"/>
      <c r="K895" s="388"/>
      <c r="L895" s="388"/>
      <c r="N895" s="1"/>
      <c r="O895" s="3"/>
    </row>
    <row r="896" ht="14.25" customHeight="1">
      <c r="A896" s="8"/>
      <c r="D896" s="386"/>
      <c r="E896" s="387"/>
      <c r="F896" s="387"/>
      <c r="G896" s="387"/>
      <c r="H896" s="387"/>
      <c r="I896" s="387"/>
      <c r="K896" s="388"/>
      <c r="L896" s="388"/>
      <c r="N896" s="1"/>
      <c r="O896" s="3"/>
    </row>
    <row r="897" ht="14.25" customHeight="1">
      <c r="A897" s="8"/>
      <c r="D897" s="386"/>
      <c r="E897" s="387"/>
      <c r="F897" s="387"/>
      <c r="G897" s="387"/>
      <c r="H897" s="387"/>
      <c r="I897" s="387"/>
      <c r="K897" s="388"/>
      <c r="L897" s="388"/>
      <c r="N897" s="1"/>
      <c r="O897" s="3"/>
    </row>
    <row r="898" ht="14.25" customHeight="1">
      <c r="A898" s="8"/>
      <c r="D898" s="386"/>
      <c r="E898" s="387"/>
      <c r="F898" s="387"/>
      <c r="G898" s="387"/>
      <c r="H898" s="387"/>
      <c r="I898" s="387"/>
      <c r="K898" s="388"/>
      <c r="L898" s="388"/>
      <c r="N898" s="1"/>
      <c r="O898" s="3"/>
    </row>
    <row r="899" ht="14.25" customHeight="1">
      <c r="A899" s="8"/>
      <c r="D899" s="386"/>
      <c r="E899" s="387"/>
      <c r="F899" s="387"/>
      <c r="G899" s="387"/>
      <c r="H899" s="387"/>
      <c r="I899" s="387"/>
      <c r="K899" s="388"/>
      <c r="L899" s="388"/>
      <c r="N899" s="1"/>
      <c r="O899" s="3"/>
    </row>
    <row r="900" ht="14.25" customHeight="1">
      <c r="A900" s="8"/>
      <c r="D900" s="386"/>
      <c r="E900" s="387"/>
      <c r="F900" s="387"/>
      <c r="G900" s="387"/>
      <c r="H900" s="387"/>
      <c r="I900" s="387"/>
      <c r="K900" s="388"/>
      <c r="L900" s="388"/>
      <c r="N900" s="1"/>
      <c r="O900" s="3"/>
    </row>
    <row r="901" ht="14.25" customHeight="1">
      <c r="A901" s="8"/>
      <c r="D901" s="386"/>
      <c r="E901" s="387"/>
      <c r="F901" s="387"/>
      <c r="G901" s="387"/>
      <c r="H901" s="387"/>
      <c r="I901" s="387"/>
      <c r="K901" s="388"/>
      <c r="L901" s="388"/>
      <c r="N901" s="1"/>
      <c r="O901" s="3"/>
    </row>
    <row r="902" ht="14.25" customHeight="1">
      <c r="A902" s="8"/>
      <c r="D902" s="386"/>
      <c r="E902" s="387"/>
      <c r="F902" s="387"/>
      <c r="G902" s="387"/>
      <c r="H902" s="387"/>
      <c r="I902" s="387"/>
      <c r="K902" s="388"/>
      <c r="L902" s="388"/>
      <c r="N902" s="1"/>
      <c r="O902" s="3"/>
    </row>
    <row r="903" ht="14.25" customHeight="1">
      <c r="A903" s="8"/>
      <c r="D903" s="386"/>
      <c r="E903" s="387"/>
      <c r="F903" s="387"/>
      <c r="G903" s="387"/>
      <c r="H903" s="387"/>
      <c r="I903" s="387"/>
      <c r="K903" s="388"/>
      <c r="L903" s="388"/>
      <c r="N903" s="1"/>
      <c r="O903" s="3"/>
    </row>
    <row r="904" ht="14.25" customHeight="1">
      <c r="A904" s="8"/>
      <c r="D904" s="386"/>
      <c r="E904" s="387"/>
      <c r="F904" s="387"/>
      <c r="G904" s="387"/>
      <c r="H904" s="387"/>
      <c r="I904" s="387"/>
      <c r="K904" s="388"/>
      <c r="L904" s="388"/>
      <c r="N904" s="1"/>
      <c r="O904" s="3"/>
    </row>
    <row r="905" ht="14.25" customHeight="1">
      <c r="A905" s="8"/>
      <c r="D905" s="386"/>
      <c r="E905" s="387"/>
      <c r="F905" s="387"/>
      <c r="G905" s="387"/>
      <c r="H905" s="387"/>
      <c r="I905" s="387"/>
      <c r="K905" s="388"/>
      <c r="L905" s="388"/>
      <c r="N905" s="1"/>
      <c r="O905" s="3"/>
    </row>
    <row r="906" ht="14.25" customHeight="1">
      <c r="A906" s="8"/>
      <c r="D906" s="386"/>
      <c r="E906" s="387"/>
      <c r="F906" s="387"/>
      <c r="G906" s="387"/>
      <c r="H906" s="387"/>
      <c r="I906" s="387"/>
      <c r="K906" s="388"/>
      <c r="L906" s="388"/>
      <c r="N906" s="1"/>
      <c r="O906" s="3"/>
    </row>
    <row r="907" ht="14.25" customHeight="1">
      <c r="A907" s="8"/>
      <c r="D907" s="386"/>
      <c r="E907" s="387"/>
      <c r="F907" s="387"/>
      <c r="G907" s="387"/>
      <c r="H907" s="387"/>
      <c r="I907" s="387"/>
      <c r="K907" s="388"/>
      <c r="L907" s="388"/>
      <c r="N907" s="1"/>
      <c r="O907" s="3"/>
    </row>
    <row r="908" ht="14.25" customHeight="1">
      <c r="A908" s="8"/>
      <c r="D908" s="386"/>
      <c r="E908" s="387"/>
      <c r="F908" s="387"/>
      <c r="G908" s="387"/>
      <c r="H908" s="387"/>
      <c r="I908" s="387"/>
      <c r="K908" s="388"/>
      <c r="L908" s="388"/>
      <c r="N908" s="1"/>
      <c r="O908" s="3"/>
    </row>
    <row r="909" ht="14.25" customHeight="1">
      <c r="A909" s="8"/>
      <c r="D909" s="386"/>
      <c r="E909" s="387"/>
      <c r="F909" s="387"/>
      <c r="G909" s="387"/>
      <c r="H909" s="387"/>
      <c r="I909" s="387"/>
      <c r="K909" s="388"/>
      <c r="L909" s="388"/>
      <c r="N909" s="1"/>
      <c r="O909" s="3"/>
    </row>
    <row r="910" ht="14.25" customHeight="1">
      <c r="A910" s="8"/>
      <c r="D910" s="386"/>
      <c r="E910" s="387"/>
      <c r="F910" s="387"/>
      <c r="G910" s="387"/>
      <c r="H910" s="387"/>
      <c r="I910" s="387"/>
      <c r="K910" s="388"/>
      <c r="L910" s="388"/>
      <c r="N910" s="1"/>
      <c r="O910" s="3"/>
    </row>
    <row r="911" ht="14.25" customHeight="1">
      <c r="A911" s="8"/>
      <c r="D911" s="386"/>
      <c r="E911" s="387"/>
      <c r="F911" s="387"/>
      <c r="G911" s="387"/>
      <c r="H911" s="387"/>
      <c r="I911" s="387"/>
      <c r="K911" s="388"/>
      <c r="L911" s="388"/>
      <c r="N911" s="1"/>
      <c r="O911" s="3"/>
    </row>
    <row r="912" ht="14.25" customHeight="1">
      <c r="A912" s="8"/>
      <c r="D912" s="386"/>
      <c r="E912" s="387"/>
      <c r="F912" s="387"/>
      <c r="G912" s="387"/>
      <c r="H912" s="387"/>
      <c r="I912" s="387"/>
      <c r="K912" s="388"/>
      <c r="L912" s="388"/>
      <c r="N912" s="1"/>
      <c r="O912" s="3"/>
    </row>
    <row r="913" ht="14.25" customHeight="1">
      <c r="A913" s="8"/>
      <c r="D913" s="386"/>
      <c r="E913" s="387"/>
      <c r="F913" s="387"/>
      <c r="G913" s="387"/>
      <c r="H913" s="387"/>
      <c r="I913" s="387"/>
      <c r="K913" s="388"/>
      <c r="L913" s="388"/>
      <c r="N913" s="1"/>
      <c r="O913" s="3"/>
    </row>
    <row r="914" ht="14.25" customHeight="1">
      <c r="A914" s="8"/>
      <c r="D914" s="386"/>
      <c r="E914" s="387"/>
      <c r="F914" s="387"/>
      <c r="G914" s="387"/>
      <c r="H914" s="387"/>
      <c r="I914" s="387"/>
      <c r="K914" s="388"/>
      <c r="L914" s="388"/>
      <c r="N914" s="1"/>
      <c r="O914" s="3"/>
    </row>
    <row r="915" ht="14.25" customHeight="1">
      <c r="A915" s="8"/>
      <c r="D915" s="386"/>
      <c r="E915" s="387"/>
      <c r="F915" s="387"/>
      <c r="G915" s="387"/>
      <c r="H915" s="387"/>
      <c r="I915" s="387"/>
      <c r="K915" s="388"/>
      <c r="L915" s="388"/>
      <c r="N915" s="1"/>
      <c r="O915" s="3"/>
    </row>
    <row r="916" ht="14.25" customHeight="1">
      <c r="A916" s="8"/>
      <c r="D916" s="386"/>
      <c r="E916" s="387"/>
      <c r="F916" s="387"/>
      <c r="G916" s="387"/>
      <c r="H916" s="387"/>
      <c r="I916" s="387"/>
      <c r="K916" s="388"/>
      <c r="L916" s="388"/>
      <c r="N916" s="1"/>
      <c r="O916" s="3"/>
    </row>
    <row r="917" ht="14.25" customHeight="1">
      <c r="A917" s="8"/>
      <c r="D917" s="386"/>
      <c r="E917" s="387"/>
      <c r="F917" s="387"/>
      <c r="G917" s="387"/>
      <c r="H917" s="387"/>
      <c r="I917" s="387"/>
      <c r="K917" s="388"/>
      <c r="L917" s="388"/>
      <c r="N917" s="1"/>
      <c r="O917" s="3"/>
    </row>
    <row r="918" ht="14.25" customHeight="1">
      <c r="A918" s="8"/>
      <c r="D918" s="386"/>
      <c r="E918" s="387"/>
      <c r="F918" s="387"/>
      <c r="G918" s="387"/>
      <c r="H918" s="387"/>
      <c r="I918" s="387"/>
      <c r="K918" s="388"/>
      <c r="L918" s="388"/>
      <c r="N918" s="1"/>
      <c r="O918" s="3"/>
    </row>
    <row r="919" ht="14.25" customHeight="1">
      <c r="A919" s="8"/>
      <c r="D919" s="386"/>
      <c r="E919" s="387"/>
      <c r="F919" s="387"/>
      <c r="G919" s="387"/>
      <c r="H919" s="387"/>
      <c r="I919" s="387"/>
      <c r="K919" s="388"/>
      <c r="L919" s="388"/>
      <c r="N919" s="1"/>
      <c r="O919" s="3"/>
    </row>
    <row r="920" ht="14.25" customHeight="1">
      <c r="A920" s="8"/>
      <c r="D920" s="386"/>
      <c r="E920" s="387"/>
      <c r="F920" s="387"/>
      <c r="G920" s="387"/>
      <c r="H920" s="387"/>
      <c r="I920" s="387"/>
      <c r="K920" s="388"/>
      <c r="L920" s="388"/>
      <c r="N920" s="1"/>
      <c r="O920" s="3"/>
    </row>
    <row r="921" ht="14.25" customHeight="1">
      <c r="A921" s="8"/>
      <c r="D921" s="386"/>
      <c r="E921" s="387"/>
      <c r="F921" s="387"/>
      <c r="G921" s="387"/>
      <c r="H921" s="387"/>
      <c r="I921" s="387"/>
      <c r="K921" s="388"/>
      <c r="L921" s="388"/>
      <c r="N921" s="1"/>
      <c r="O921" s="3"/>
    </row>
    <row r="922" ht="14.25" customHeight="1">
      <c r="A922" s="8"/>
      <c r="D922" s="386"/>
      <c r="E922" s="387"/>
      <c r="F922" s="387"/>
      <c r="G922" s="387"/>
      <c r="H922" s="387"/>
      <c r="I922" s="387"/>
      <c r="K922" s="388"/>
      <c r="L922" s="388"/>
      <c r="N922" s="1"/>
      <c r="O922" s="3"/>
    </row>
    <row r="923" ht="14.25" customHeight="1">
      <c r="A923" s="8"/>
      <c r="D923" s="386"/>
      <c r="E923" s="387"/>
      <c r="F923" s="387"/>
      <c r="G923" s="387"/>
      <c r="H923" s="387"/>
      <c r="I923" s="387"/>
      <c r="K923" s="388"/>
      <c r="L923" s="388"/>
      <c r="N923" s="1"/>
      <c r="O923" s="3"/>
    </row>
    <row r="924" ht="14.25" customHeight="1">
      <c r="A924" s="8"/>
      <c r="D924" s="386"/>
      <c r="E924" s="387"/>
      <c r="F924" s="387"/>
      <c r="G924" s="387"/>
      <c r="H924" s="387"/>
      <c r="I924" s="387"/>
      <c r="K924" s="388"/>
      <c r="L924" s="388"/>
      <c r="N924" s="1"/>
      <c r="O924" s="3"/>
    </row>
    <row r="925" ht="14.25" customHeight="1">
      <c r="A925" s="8"/>
      <c r="D925" s="386"/>
      <c r="E925" s="387"/>
      <c r="F925" s="387"/>
      <c r="G925" s="387"/>
      <c r="H925" s="387"/>
      <c r="I925" s="387"/>
      <c r="K925" s="388"/>
      <c r="L925" s="388"/>
      <c r="N925" s="1"/>
      <c r="O925" s="3"/>
    </row>
    <row r="926" ht="14.25" customHeight="1">
      <c r="A926" s="8"/>
      <c r="D926" s="386"/>
      <c r="E926" s="387"/>
      <c r="F926" s="387"/>
      <c r="G926" s="387"/>
      <c r="H926" s="387"/>
      <c r="I926" s="387"/>
      <c r="K926" s="388"/>
      <c r="L926" s="388"/>
      <c r="N926" s="1"/>
      <c r="O926" s="3"/>
    </row>
    <row r="927" ht="14.25" customHeight="1">
      <c r="A927" s="8"/>
      <c r="D927" s="386"/>
      <c r="E927" s="387"/>
      <c r="F927" s="387"/>
      <c r="G927" s="387"/>
      <c r="H927" s="387"/>
      <c r="I927" s="387"/>
      <c r="K927" s="388"/>
      <c r="L927" s="388"/>
      <c r="N927" s="1"/>
      <c r="O927" s="3"/>
    </row>
    <row r="928" ht="14.25" customHeight="1">
      <c r="A928" s="8"/>
      <c r="D928" s="386"/>
      <c r="E928" s="387"/>
      <c r="F928" s="387"/>
      <c r="G928" s="387"/>
      <c r="H928" s="387"/>
      <c r="I928" s="387"/>
      <c r="K928" s="388"/>
      <c r="L928" s="388"/>
      <c r="N928" s="1"/>
      <c r="O928" s="3"/>
    </row>
    <row r="929" ht="14.25" customHeight="1">
      <c r="A929" s="8"/>
      <c r="D929" s="386"/>
      <c r="E929" s="387"/>
      <c r="F929" s="387"/>
      <c r="G929" s="387"/>
      <c r="H929" s="387"/>
      <c r="I929" s="387"/>
      <c r="K929" s="388"/>
      <c r="L929" s="388"/>
      <c r="N929" s="1"/>
      <c r="O929" s="3"/>
    </row>
    <row r="930" ht="14.25" customHeight="1">
      <c r="A930" s="8"/>
      <c r="D930" s="386"/>
      <c r="E930" s="387"/>
      <c r="F930" s="387"/>
      <c r="G930" s="387"/>
      <c r="H930" s="387"/>
      <c r="I930" s="387"/>
      <c r="K930" s="388"/>
      <c r="L930" s="388"/>
      <c r="N930" s="1"/>
      <c r="O930" s="3"/>
    </row>
    <row r="931" ht="14.25" customHeight="1">
      <c r="A931" s="8"/>
      <c r="D931" s="386"/>
      <c r="E931" s="387"/>
      <c r="F931" s="387"/>
      <c r="G931" s="387"/>
      <c r="H931" s="387"/>
      <c r="I931" s="387"/>
      <c r="K931" s="388"/>
      <c r="L931" s="388"/>
      <c r="N931" s="1"/>
      <c r="O931" s="3"/>
    </row>
    <row r="932" ht="14.25" customHeight="1">
      <c r="A932" s="8"/>
      <c r="D932" s="386"/>
      <c r="E932" s="387"/>
      <c r="F932" s="387"/>
      <c r="G932" s="387"/>
      <c r="H932" s="387"/>
      <c r="I932" s="387"/>
      <c r="K932" s="388"/>
      <c r="L932" s="388"/>
      <c r="N932" s="1"/>
      <c r="O932" s="3"/>
    </row>
    <row r="933" ht="14.25" customHeight="1">
      <c r="A933" s="8"/>
      <c r="D933" s="386"/>
      <c r="E933" s="387"/>
      <c r="F933" s="387"/>
      <c r="G933" s="387"/>
      <c r="H933" s="387"/>
      <c r="I933" s="387"/>
      <c r="K933" s="388"/>
      <c r="L933" s="388"/>
      <c r="N933" s="1"/>
      <c r="O933" s="3"/>
    </row>
    <row r="934" ht="14.25" customHeight="1">
      <c r="A934" s="8"/>
      <c r="D934" s="386"/>
      <c r="E934" s="387"/>
      <c r="F934" s="387"/>
      <c r="G934" s="387"/>
      <c r="H934" s="387"/>
      <c r="I934" s="387"/>
      <c r="K934" s="388"/>
      <c r="L934" s="388"/>
      <c r="N934" s="1"/>
      <c r="O934" s="3"/>
    </row>
    <row r="935" ht="14.25" customHeight="1">
      <c r="A935" s="8"/>
      <c r="D935" s="386"/>
      <c r="E935" s="387"/>
      <c r="F935" s="387"/>
      <c r="G935" s="387"/>
      <c r="H935" s="387"/>
      <c r="I935" s="387"/>
      <c r="K935" s="388"/>
      <c r="L935" s="388"/>
      <c r="N935" s="1"/>
      <c r="O935" s="3"/>
    </row>
    <row r="936" ht="14.25" customHeight="1">
      <c r="A936" s="8"/>
      <c r="D936" s="386"/>
      <c r="E936" s="387"/>
      <c r="F936" s="387"/>
      <c r="G936" s="387"/>
      <c r="H936" s="387"/>
      <c r="I936" s="387"/>
      <c r="K936" s="388"/>
      <c r="L936" s="388"/>
      <c r="N936" s="1"/>
      <c r="O936" s="3"/>
    </row>
    <row r="937" ht="14.25" customHeight="1">
      <c r="A937" s="8"/>
      <c r="D937" s="386"/>
      <c r="E937" s="387"/>
      <c r="F937" s="387"/>
      <c r="G937" s="387"/>
      <c r="H937" s="387"/>
      <c r="I937" s="387"/>
      <c r="K937" s="388"/>
      <c r="L937" s="388"/>
      <c r="N937" s="1"/>
      <c r="O937" s="3"/>
    </row>
    <row r="938" ht="14.25" customHeight="1">
      <c r="A938" s="8"/>
      <c r="D938" s="386"/>
      <c r="E938" s="387"/>
      <c r="F938" s="387"/>
      <c r="G938" s="387"/>
      <c r="H938" s="387"/>
      <c r="I938" s="387"/>
      <c r="K938" s="388"/>
      <c r="L938" s="388"/>
      <c r="N938" s="1"/>
      <c r="O938" s="3"/>
    </row>
    <row r="939" ht="14.25" customHeight="1">
      <c r="A939" s="8"/>
      <c r="D939" s="386"/>
      <c r="E939" s="387"/>
      <c r="F939" s="387"/>
      <c r="G939" s="387"/>
      <c r="H939" s="387"/>
      <c r="I939" s="387"/>
      <c r="K939" s="388"/>
      <c r="L939" s="388"/>
      <c r="N939" s="1"/>
      <c r="O939" s="3"/>
    </row>
    <row r="940" ht="14.25" customHeight="1">
      <c r="A940" s="8"/>
      <c r="D940" s="386"/>
      <c r="E940" s="387"/>
      <c r="F940" s="387"/>
      <c r="G940" s="387"/>
      <c r="H940" s="387"/>
      <c r="I940" s="387"/>
      <c r="K940" s="388"/>
      <c r="L940" s="388"/>
      <c r="N940" s="1"/>
      <c r="O940" s="3"/>
    </row>
    <row r="941" ht="14.25" customHeight="1">
      <c r="A941" s="8"/>
      <c r="D941" s="386"/>
      <c r="E941" s="387"/>
      <c r="F941" s="387"/>
      <c r="G941" s="387"/>
      <c r="H941" s="387"/>
      <c r="I941" s="387"/>
      <c r="K941" s="388"/>
      <c r="L941" s="388"/>
      <c r="N941" s="1"/>
      <c r="O941" s="3"/>
    </row>
    <row r="942" ht="14.25" customHeight="1">
      <c r="A942" s="8"/>
      <c r="D942" s="386"/>
      <c r="E942" s="387"/>
      <c r="F942" s="387"/>
      <c r="G942" s="387"/>
      <c r="H942" s="387"/>
      <c r="I942" s="387"/>
      <c r="K942" s="388"/>
      <c r="L942" s="388"/>
      <c r="N942" s="1"/>
      <c r="O942" s="3"/>
    </row>
    <row r="943" ht="14.25" customHeight="1">
      <c r="A943" s="8"/>
      <c r="D943" s="386"/>
      <c r="E943" s="387"/>
      <c r="F943" s="387"/>
      <c r="G943" s="387"/>
      <c r="H943" s="387"/>
      <c r="I943" s="387"/>
      <c r="K943" s="388"/>
      <c r="L943" s="388"/>
      <c r="N943" s="1"/>
      <c r="O943" s="3"/>
    </row>
    <row r="944" ht="14.25" customHeight="1">
      <c r="A944" s="8"/>
      <c r="D944" s="386"/>
      <c r="E944" s="387"/>
      <c r="F944" s="387"/>
      <c r="G944" s="387"/>
      <c r="H944" s="387"/>
      <c r="I944" s="387"/>
      <c r="K944" s="388"/>
      <c r="L944" s="388"/>
      <c r="N944" s="1"/>
      <c r="O944" s="3"/>
    </row>
    <row r="945" ht="14.25" customHeight="1">
      <c r="A945" s="8"/>
      <c r="D945" s="386"/>
      <c r="E945" s="387"/>
      <c r="F945" s="387"/>
      <c r="G945" s="387"/>
      <c r="H945" s="387"/>
      <c r="I945" s="387"/>
      <c r="K945" s="388"/>
      <c r="L945" s="388"/>
      <c r="N945" s="1"/>
      <c r="O945" s="3"/>
    </row>
    <row r="946" ht="14.25" customHeight="1">
      <c r="A946" s="8"/>
      <c r="D946" s="386"/>
      <c r="E946" s="387"/>
      <c r="F946" s="387"/>
      <c r="G946" s="387"/>
      <c r="H946" s="387"/>
      <c r="I946" s="387"/>
      <c r="K946" s="388"/>
      <c r="L946" s="388"/>
      <c r="N946" s="1"/>
      <c r="O946" s="3"/>
    </row>
    <row r="947" ht="14.25" customHeight="1">
      <c r="A947" s="8"/>
      <c r="D947" s="386"/>
      <c r="E947" s="387"/>
      <c r="F947" s="387"/>
      <c r="G947" s="387"/>
      <c r="H947" s="387"/>
      <c r="I947" s="387"/>
      <c r="K947" s="388"/>
      <c r="L947" s="388"/>
      <c r="N947" s="1"/>
      <c r="O947" s="3"/>
    </row>
    <row r="948" ht="14.25" customHeight="1">
      <c r="A948" s="8"/>
      <c r="D948" s="386"/>
      <c r="E948" s="387"/>
      <c r="F948" s="387"/>
      <c r="G948" s="387"/>
      <c r="H948" s="387"/>
      <c r="I948" s="387"/>
      <c r="K948" s="388"/>
      <c r="L948" s="388"/>
      <c r="N948" s="1"/>
      <c r="O948" s="3"/>
    </row>
    <row r="949" ht="14.25" customHeight="1">
      <c r="A949" s="8"/>
      <c r="D949" s="386"/>
      <c r="E949" s="387"/>
      <c r="F949" s="387"/>
      <c r="G949" s="387"/>
      <c r="H949" s="387"/>
      <c r="I949" s="387"/>
      <c r="K949" s="388"/>
      <c r="L949" s="388"/>
      <c r="N949" s="1"/>
      <c r="O949" s="3"/>
    </row>
    <row r="950" ht="14.25" customHeight="1">
      <c r="A950" s="8"/>
      <c r="D950" s="386"/>
      <c r="E950" s="387"/>
      <c r="F950" s="387"/>
      <c r="G950" s="387"/>
      <c r="H950" s="387"/>
      <c r="I950" s="387"/>
      <c r="K950" s="388"/>
      <c r="L950" s="388"/>
      <c r="N950" s="1"/>
      <c r="O950" s="3"/>
    </row>
    <row r="951" ht="14.25" customHeight="1">
      <c r="A951" s="8"/>
      <c r="D951" s="386"/>
      <c r="E951" s="387"/>
      <c r="F951" s="387"/>
      <c r="G951" s="387"/>
      <c r="H951" s="387"/>
      <c r="I951" s="387"/>
      <c r="K951" s="388"/>
      <c r="L951" s="388"/>
      <c r="N951" s="1"/>
      <c r="O951" s="3"/>
    </row>
    <row r="952" ht="14.25" customHeight="1">
      <c r="A952" s="8"/>
      <c r="D952" s="386"/>
      <c r="E952" s="387"/>
      <c r="F952" s="387"/>
      <c r="G952" s="387"/>
      <c r="H952" s="387"/>
      <c r="I952" s="387"/>
      <c r="K952" s="388"/>
      <c r="L952" s="388"/>
      <c r="N952" s="1"/>
      <c r="O952" s="3"/>
    </row>
    <row r="953" ht="14.25" customHeight="1">
      <c r="A953" s="8"/>
      <c r="D953" s="386"/>
      <c r="E953" s="387"/>
      <c r="F953" s="387"/>
      <c r="G953" s="387"/>
      <c r="H953" s="387"/>
      <c r="I953" s="387"/>
      <c r="K953" s="388"/>
      <c r="L953" s="388"/>
      <c r="N953" s="1"/>
      <c r="O953" s="3"/>
    </row>
    <row r="954" ht="14.25" customHeight="1">
      <c r="A954" s="8"/>
      <c r="D954" s="386"/>
      <c r="E954" s="387"/>
      <c r="F954" s="387"/>
      <c r="G954" s="387"/>
      <c r="H954" s="387"/>
      <c r="I954" s="387"/>
      <c r="K954" s="388"/>
      <c r="L954" s="388"/>
      <c r="N954" s="1"/>
      <c r="O954" s="3"/>
    </row>
    <row r="955" ht="14.25" customHeight="1">
      <c r="A955" s="8"/>
      <c r="D955" s="386"/>
      <c r="E955" s="387"/>
      <c r="F955" s="387"/>
      <c r="G955" s="387"/>
      <c r="H955" s="387"/>
      <c r="I955" s="387"/>
      <c r="K955" s="388"/>
      <c r="L955" s="388"/>
      <c r="N955" s="1"/>
      <c r="O955" s="3"/>
    </row>
    <row r="956" ht="14.25" customHeight="1">
      <c r="A956" s="8"/>
      <c r="D956" s="386"/>
      <c r="E956" s="387"/>
      <c r="F956" s="387"/>
      <c r="G956" s="387"/>
      <c r="H956" s="387"/>
      <c r="I956" s="387"/>
      <c r="K956" s="388"/>
      <c r="L956" s="388"/>
      <c r="N956" s="1"/>
      <c r="O956" s="3"/>
    </row>
    <row r="957" ht="14.25" customHeight="1">
      <c r="A957" s="8"/>
      <c r="D957" s="386"/>
      <c r="E957" s="387"/>
      <c r="F957" s="387"/>
      <c r="G957" s="387"/>
      <c r="H957" s="387"/>
      <c r="I957" s="387"/>
      <c r="K957" s="388"/>
      <c r="L957" s="388"/>
      <c r="N957" s="1"/>
      <c r="O957" s="3"/>
    </row>
    <row r="958" ht="14.25" customHeight="1">
      <c r="A958" s="8"/>
      <c r="D958" s="386"/>
      <c r="E958" s="387"/>
      <c r="F958" s="387"/>
      <c r="G958" s="387"/>
      <c r="H958" s="387"/>
      <c r="I958" s="387"/>
      <c r="K958" s="388"/>
      <c r="L958" s="388"/>
      <c r="N958" s="1"/>
      <c r="O958" s="3"/>
    </row>
    <row r="959" ht="14.25" customHeight="1">
      <c r="A959" s="8"/>
      <c r="D959" s="386"/>
      <c r="E959" s="387"/>
      <c r="F959" s="387"/>
      <c r="G959" s="387"/>
      <c r="H959" s="387"/>
      <c r="I959" s="387"/>
      <c r="K959" s="388"/>
      <c r="L959" s="388"/>
      <c r="N959" s="1"/>
      <c r="O959" s="3"/>
    </row>
    <row r="960" ht="14.25" customHeight="1">
      <c r="A960" s="8"/>
      <c r="D960" s="386"/>
      <c r="E960" s="387"/>
      <c r="F960" s="387"/>
      <c r="G960" s="387"/>
      <c r="H960" s="387"/>
      <c r="I960" s="387"/>
      <c r="K960" s="388"/>
      <c r="L960" s="388"/>
      <c r="N960" s="1"/>
      <c r="O960" s="3"/>
    </row>
    <row r="961" ht="14.25" customHeight="1">
      <c r="A961" s="8"/>
      <c r="D961" s="386"/>
      <c r="E961" s="387"/>
      <c r="F961" s="387"/>
      <c r="G961" s="387"/>
      <c r="H961" s="387"/>
      <c r="I961" s="387"/>
      <c r="K961" s="388"/>
      <c r="L961" s="388"/>
      <c r="N961" s="1"/>
      <c r="O961" s="3"/>
    </row>
    <row r="962" ht="14.25" customHeight="1">
      <c r="A962" s="8"/>
      <c r="D962" s="386"/>
      <c r="E962" s="387"/>
      <c r="F962" s="387"/>
      <c r="G962" s="387"/>
      <c r="H962" s="387"/>
      <c r="I962" s="387"/>
      <c r="K962" s="388"/>
      <c r="L962" s="388"/>
      <c r="N962" s="1"/>
      <c r="O962" s="3"/>
    </row>
    <row r="963" ht="14.25" customHeight="1">
      <c r="A963" s="8"/>
      <c r="D963" s="386"/>
      <c r="E963" s="387"/>
      <c r="F963" s="387"/>
      <c r="G963" s="387"/>
      <c r="H963" s="387"/>
      <c r="I963" s="387"/>
      <c r="K963" s="388"/>
      <c r="L963" s="388"/>
      <c r="N963" s="1"/>
      <c r="O963" s="3"/>
    </row>
    <row r="964" ht="14.25" customHeight="1">
      <c r="A964" s="8"/>
      <c r="D964" s="386"/>
      <c r="E964" s="387"/>
      <c r="F964" s="387"/>
      <c r="G964" s="387"/>
      <c r="H964" s="387"/>
      <c r="I964" s="387"/>
      <c r="K964" s="388"/>
      <c r="L964" s="388"/>
      <c r="N964" s="1"/>
      <c r="O964" s="3"/>
    </row>
    <row r="965" ht="14.25" customHeight="1">
      <c r="A965" s="8"/>
      <c r="D965" s="386"/>
      <c r="E965" s="387"/>
      <c r="F965" s="387"/>
      <c r="G965" s="387"/>
      <c r="H965" s="387"/>
      <c r="I965" s="387"/>
      <c r="K965" s="388"/>
      <c r="L965" s="388"/>
      <c r="N965" s="1"/>
      <c r="O965" s="3"/>
    </row>
    <row r="966" ht="14.25" customHeight="1">
      <c r="A966" s="8"/>
      <c r="D966" s="386"/>
      <c r="E966" s="387"/>
      <c r="F966" s="387"/>
      <c r="G966" s="387"/>
      <c r="H966" s="387"/>
      <c r="I966" s="387"/>
      <c r="K966" s="388"/>
      <c r="L966" s="388"/>
      <c r="N966" s="1"/>
      <c r="O966" s="3"/>
    </row>
    <row r="967" ht="14.25" customHeight="1">
      <c r="A967" s="8"/>
      <c r="D967" s="386"/>
      <c r="E967" s="387"/>
      <c r="F967" s="387"/>
      <c r="G967" s="387"/>
      <c r="H967" s="387"/>
      <c r="I967" s="387"/>
      <c r="K967" s="388"/>
      <c r="L967" s="388"/>
      <c r="N967" s="1"/>
      <c r="O967" s="3"/>
    </row>
    <row r="968" ht="14.25" customHeight="1">
      <c r="A968" s="8"/>
      <c r="D968" s="386"/>
      <c r="E968" s="387"/>
      <c r="F968" s="387"/>
      <c r="G968" s="387"/>
      <c r="H968" s="387"/>
      <c r="I968" s="387"/>
      <c r="K968" s="388"/>
      <c r="L968" s="388"/>
      <c r="N968" s="1"/>
      <c r="O968" s="3"/>
    </row>
    <row r="969" ht="14.25" customHeight="1">
      <c r="A969" s="8"/>
      <c r="D969" s="386"/>
      <c r="E969" s="387"/>
      <c r="F969" s="387"/>
      <c r="G969" s="387"/>
      <c r="H969" s="387"/>
      <c r="I969" s="387"/>
      <c r="K969" s="388"/>
      <c r="L969" s="388"/>
      <c r="N969" s="1"/>
      <c r="O969" s="3"/>
    </row>
    <row r="970" ht="14.25" customHeight="1">
      <c r="A970" s="8"/>
      <c r="D970" s="386"/>
      <c r="E970" s="387"/>
      <c r="F970" s="387"/>
      <c r="G970" s="387"/>
      <c r="H970" s="387"/>
      <c r="I970" s="387"/>
      <c r="K970" s="388"/>
      <c r="L970" s="388"/>
      <c r="N970" s="1"/>
      <c r="O970" s="3"/>
    </row>
    <row r="971" ht="14.25" customHeight="1">
      <c r="A971" s="8"/>
      <c r="D971" s="386"/>
      <c r="E971" s="387"/>
      <c r="F971" s="387"/>
      <c r="G971" s="387"/>
      <c r="H971" s="387"/>
      <c r="I971" s="387"/>
      <c r="K971" s="388"/>
      <c r="L971" s="388"/>
      <c r="N971" s="1"/>
      <c r="O971" s="3"/>
    </row>
    <row r="972" ht="14.25" customHeight="1">
      <c r="A972" s="8"/>
      <c r="D972" s="386"/>
      <c r="E972" s="387"/>
      <c r="F972" s="387"/>
      <c r="G972" s="387"/>
      <c r="H972" s="387"/>
      <c r="I972" s="387"/>
      <c r="K972" s="388"/>
      <c r="L972" s="388"/>
      <c r="N972" s="1"/>
      <c r="O972" s="3"/>
    </row>
    <row r="973" ht="14.25" customHeight="1">
      <c r="A973" s="8"/>
      <c r="D973" s="386"/>
      <c r="E973" s="387"/>
      <c r="F973" s="387"/>
      <c r="G973" s="387"/>
      <c r="H973" s="387"/>
      <c r="I973" s="387"/>
      <c r="K973" s="388"/>
      <c r="L973" s="388"/>
      <c r="N973" s="1"/>
      <c r="O973" s="3"/>
    </row>
    <row r="974" ht="14.25" customHeight="1">
      <c r="A974" s="8"/>
      <c r="D974" s="386"/>
      <c r="E974" s="387"/>
      <c r="F974" s="387"/>
      <c r="G974" s="387"/>
      <c r="H974" s="387"/>
      <c r="I974" s="387"/>
      <c r="K974" s="388"/>
      <c r="L974" s="388"/>
      <c r="N974" s="1"/>
      <c r="O974" s="3"/>
    </row>
    <row r="975" ht="14.25" customHeight="1">
      <c r="A975" s="8"/>
      <c r="D975" s="386"/>
      <c r="E975" s="387"/>
      <c r="F975" s="387"/>
      <c r="G975" s="387"/>
      <c r="H975" s="387"/>
      <c r="I975" s="387"/>
      <c r="K975" s="388"/>
      <c r="L975" s="388"/>
      <c r="N975" s="1"/>
      <c r="O975" s="3"/>
    </row>
    <row r="976" ht="14.25" customHeight="1">
      <c r="A976" s="8"/>
      <c r="D976" s="386"/>
      <c r="E976" s="387"/>
      <c r="F976" s="387"/>
      <c r="G976" s="387"/>
      <c r="H976" s="387"/>
      <c r="I976" s="387"/>
      <c r="K976" s="388"/>
      <c r="L976" s="388"/>
      <c r="N976" s="1"/>
      <c r="O976" s="3"/>
    </row>
    <row r="977" ht="14.25" customHeight="1">
      <c r="A977" s="8"/>
      <c r="D977" s="386"/>
      <c r="E977" s="387"/>
      <c r="F977" s="387"/>
      <c r="G977" s="387"/>
      <c r="H977" s="387"/>
      <c r="I977" s="387"/>
      <c r="K977" s="388"/>
      <c r="L977" s="388"/>
      <c r="N977" s="1"/>
      <c r="O977" s="3"/>
    </row>
    <row r="978" ht="14.25" customHeight="1">
      <c r="A978" s="8"/>
      <c r="D978" s="386"/>
      <c r="E978" s="387"/>
      <c r="F978" s="387"/>
      <c r="G978" s="387"/>
      <c r="H978" s="387"/>
      <c r="I978" s="387"/>
      <c r="K978" s="388"/>
      <c r="L978" s="388"/>
      <c r="N978" s="1"/>
      <c r="O978" s="3"/>
    </row>
    <row r="979" ht="14.25" customHeight="1">
      <c r="A979" s="8"/>
      <c r="D979" s="386"/>
      <c r="E979" s="387"/>
      <c r="F979" s="387"/>
      <c r="G979" s="387"/>
      <c r="H979" s="387"/>
      <c r="I979" s="387"/>
      <c r="K979" s="388"/>
      <c r="L979" s="388"/>
      <c r="N979" s="1"/>
      <c r="O979" s="3"/>
    </row>
    <row r="980" ht="14.25" customHeight="1">
      <c r="A980" s="8"/>
      <c r="D980" s="386"/>
      <c r="E980" s="387"/>
      <c r="F980" s="387"/>
      <c r="G980" s="387"/>
      <c r="H980" s="387"/>
      <c r="I980" s="387"/>
      <c r="K980" s="388"/>
      <c r="L980" s="388"/>
      <c r="N980" s="1"/>
      <c r="O980" s="3"/>
    </row>
    <row r="981" ht="14.25" customHeight="1">
      <c r="A981" s="8"/>
      <c r="D981" s="386"/>
      <c r="E981" s="387"/>
      <c r="F981" s="387"/>
      <c r="G981" s="387"/>
      <c r="H981" s="387"/>
      <c r="I981" s="387"/>
      <c r="K981" s="388"/>
      <c r="L981" s="388"/>
      <c r="N981" s="1"/>
      <c r="O981" s="3"/>
    </row>
    <row r="982" ht="14.25" customHeight="1">
      <c r="A982" s="8"/>
      <c r="D982" s="386"/>
      <c r="E982" s="387"/>
      <c r="F982" s="387"/>
      <c r="G982" s="387"/>
      <c r="H982" s="387"/>
      <c r="I982" s="387"/>
      <c r="K982" s="388"/>
      <c r="L982" s="388"/>
      <c r="N982" s="1"/>
      <c r="O982" s="3"/>
    </row>
    <row r="983" ht="14.25" customHeight="1">
      <c r="A983" s="8"/>
      <c r="D983" s="386"/>
      <c r="E983" s="387"/>
      <c r="F983" s="387"/>
      <c r="G983" s="387"/>
      <c r="H983" s="387"/>
      <c r="I983" s="387"/>
      <c r="K983" s="388"/>
      <c r="L983" s="388"/>
      <c r="N983" s="1"/>
      <c r="O983" s="3"/>
    </row>
    <row r="984" ht="14.25" customHeight="1">
      <c r="A984" s="8"/>
      <c r="D984" s="386"/>
      <c r="E984" s="387"/>
      <c r="F984" s="387"/>
      <c r="G984" s="387"/>
      <c r="H984" s="387"/>
      <c r="I984" s="387"/>
      <c r="K984" s="388"/>
      <c r="L984" s="388"/>
      <c r="N984" s="1"/>
      <c r="O984" s="3"/>
    </row>
    <row r="985" ht="14.25" customHeight="1">
      <c r="A985" s="8"/>
      <c r="D985" s="386"/>
      <c r="E985" s="387"/>
      <c r="F985" s="387"/>
      <c r="G985" s="387"/>
      <c r="H985" s="387"/>
      <c r="I985" s="387"/>
      <c r="K985" s="388"/>
      <c r="L985" s="388"/>
      <c r="N985" s="1"/>
      <c r="O985" s="3"/>
    </row>
    <row r="986" ht="14.25" customHeight="1">
      <c r="A986" s="8"/>
      <c r="D986" s="386"/>
      <c r="E986" s="387"/>
      <c r="F986" s="387"/>
      <c r="G986" s="387"/>
      <c r="H986" s="387"/>
      <c r="I986" s="387"/>
      <c r="K986" s="388"/>
      <c r="L986" s="388"/>
      <c r="N986" s="1"/>
      <c r="O986" s="3"/>
    </row>
    <row r="987" ht="14.25" customHeight="1">
      <c r="A987" s="8"/>
      <c r="D987" s="386"/>
      <c r="E987" s="387"/>
      <c r="F987" s="387"/>
      <c r="G987" s="387"/>
      <c r="H987" s="387"/>
      <c r="I987" s="387"/>
      <c r="K987" s="388"/>
      <c r="L987" s="388"/>
      <c r="N987" s="1"/>
      <c r="O987" s="3"/>
    </row>
    <row r="988" ht="14.25" customHeight="1">
      <c r="A988" s="8"/>
      <c r="D988" s="386"/>
      <c r="E988" s="387"/>
      <c r="F988" s="387"/>
      <c r="G988" s="387"/>
      <c r="H988" s="387"/>
      <c r="I988" s="387"/>
      <c r="K988" s="388"/>
      <c r="L988" s="388"/>
      <c r="N988" s="1"/>
      <c r="O988" s="3"/>
    </row>
    <row r="989" ht="14.25" customHeight="1">
      <c r="A989" s="8"/>
      <c r="D989" s="386"/>
      <c r="E989" s="387"/>
      <c r="F989" s="387"/>
      <c r="G989" s="387"/>
      <c r="H989" s="387"/>
      <c r="I989" s="387"/>
      <c r="K989" s="388"/>
      <c r="L989" s="388"/>
      <c r="N989" s="1"/>
      <c r="O989" s="3"/>
    </row>
    <row r="990" ht="14.25" customHeight="1">
      <c r="A990" s="8"/>
      <c r="D990" s="386"/>
      <c r="E990" s="387"/>
      <c r="F990" s="387"/>
      <c r="G990" s="387"/>
      <c r="H990" s="387"/>
      <c r="I990" s="387"/>
      <c r="K990" s="388"/>
      <c r="L990" s="388"/>
      <c r="N990" s="1"/>
      <c r="O990" s="3"/>
    </row>
    <row r="991" ht="14.25" customHeight="1">
      <c r="A991" s="8"/>
      <c r="D991" s="386"/>
      <c r="E991" s="387"/>
      <c r="F991" s="387"/>
      <c r="G991" s="387"/>
      <c r="H991" s="387"/>
      <c r="I991" s="387"/>
      <c r="K991" s="388"/>
      <c r="L991" s="388"/>
      <c r="N991" s="1"/>
      <c r="O991" s="3"/>
    </row>
    <row r="992" ht="14.25" customHeight="1">
      <c r="A992" s="8"/>
      <c r="D992" s="386"/>
      <c r="E992" s="387"/>
      <c r="F992" s="387"/>
      <c r="G992" s="387"/>
      <c r="H992" s="387"/>
      <c r="I992" s="387"/>
      <c r="K992" s="388"/>
      <c r="L992" s="388"/>
      <c r="N992" s="1"/>
      <c r="O992" s="3"/>
    </row>
    <row r="993" ht="14.25" customHeight="1">
      <c r="A993" s="8"/>
      <c r="D993" s="386"/>
      <c r="E993" s="387"/>
      <c r="F993" s="387"/>
      <c r="G993" s="387"/>
      <c r="H993" s="387"/>
      <c r="I993" s="387"/>
      <c r="K993" s="388"/>
      <c r="L993" s="388"/>
      <c r="N993" s="1"/>
      <c r="O993" s="3"/>
    </row>
    <row r="994" ht="14.25" customHeight="1">
      <c r="A994" s="8"/>
      <c r="D994" s="386"/>
      <c r="E994" s="387"/>
      <c r="F994" s="387"/>
      <c r="G994" s="387"/>
      <c r="H994" s="387"/>
      <c r="I994" s="387"/>
      <c r="K994" s="388"/>
      <c r="L994" s="388"/>
      <c r="N994" s="1"/>
      <c r="O994" s="3"/>
    </row>
    <row r="995" ht="14.25" customHeight="1">
      <c r="A995" s="8"/>
      <c r="D995" s="386"/>
      <c r="E995" s="387"/>
      <c r="F995" s="387"/>
      <c r="G995" s="387"/>
      <c r="H995" s="387"/>
      <c r="I995" s="387"/>
      <c r="K995" s="388"/>
      <c r="L995" s="388"/>
      <c r="N995" s="1"/>
      <c r="O995" s="3"/>
    </row>
    <row r="996" ht="14.25" customHeight="1">
      <c r="A996" s="8"/>
      <c r="D996" s="386"/>
      <c r="E996" s="387"/>
      <c r="F996" s="387"/>
      <c r="G996" s="387"/>
      <c r="H996" s="387"/>
      <c r="I996" s="387"/>
      <c r="K996" s="388"/>
      <c r="L996" s="388"/>
      <c r="N996" s="1"/>
      <c r="O996" s="3"/>
    </row>
    <row r="997" ht="14.25" customHeight="1">
      <c r="A997" s="8"/>
      <c r="D997" s="386"/>
      <c r="E997" s="387"/>
      <c r="F997" s="387"/>
      <c r="G997" s="387"/>
      <c r="H997" s="387"/>
      <c r="I997" s="387"/>
      <c r="K997" s="388"/>
      <c r="L997" s="388"/>
      <c r="N997" s="1"/>
      <c r="O997" s="3"/>
    </row>
    <row r="998" ht="14.25" customHeight="1">
      <c r="A998" s="8"/>
      <c r="D998" s="386"/>
      <c r="E998" s="387"/>
      <c r="F998" s="387"/>
      <c r="G998" s="387"/>
      <c r="H998" s="387"/>
      <c r="I998" s="387"/>
      <c r="K998" s="388"/>
      <c r="L998" s="388"/>
      <c r="N998" s="1"/>
      <c r="O998" s="3"/>
    </row>
    <row r="999" ht="14.25" customHeight="1">
      <c r="A999" s="8"/>
      <c r="D999" s="386"/>
      <c r="E999" s="387"/>
      <c r="F999" s="387"/>
      <c r="G999" s="387"/>
      <c r="H999" s="387"/>
      <c r="I999" s="387"/>
      <c r="K999" s="388"/>
      <c r="L999" s="388"/>
      <c r="N999" s="1"/>
      <c r="O999" s="3"/>
    </row>
    <row r="1000" ht="14.25" customHeight="1">
      <c r="A1000" s="8"/>
      <c r="D1000" s="386"/>
      <c r="E1000" s="387"/>
      <c r="F1000" s="387"/>
      <c r="G1000" s="387"/>
      <c r="H1000" s="387"/>
      <c r="I1000" s="387"/>
      <c r="K1000" s="388"/>
      <c r="L1000" s="388"/>
      <c r="N1000" s="1"/>
      <c r="O1000" s="3"/>
    </row>
    <row r="1001" ht="14.25" customHeight="1">
      <c r="A1001" s="8"/>
      <c r="D1001" s="386"/>
      <c r="E1001" s="387"/>
      <c r="F1001" s="387"/>
      <c r="G1001" s="387"/>
      <c r="H1001" s="387"/>
      <c r="I1001" s="387"/>
      <c r="K1001" s="388"/>
      <c r="L1001" s="388"/>
      <c r="N1001" s="1"/>
      <c r="O1001" s="400"/>
    </row>
  </sheetData>
  <mergeCells count="169">
    <mergeCell ref="M13:M20"/>
    <mergeCell ref="J21:J22"/>
    <mergeCell ref="K21:K22"/>
    <mergeCell ref="B3:C3"/>
    <mergeCell ref="J3:M3"/>
    <mergeCell ref="J4:L4"/>
    <mergeCell ref="B5:B12"/>
    <mergeCell ref="M5:M12"/>
    <mergeCell ref="B13:B20"/>
    <mergeCell ref="B21:B28"/>
    <mergeCell ref="J88:J89"/>
    <mergeCell ref="K88:K89"/>
    <mergeCell ref="J82:J83"/>
    <mergeCell ref="K82:K83"/>
    <mergeCell ref="M82:M89"/>
    <mergeCell ref="J84:J85"/>
    <mergeCell ref="K84:K85"/>
    <mergeCell ref="J86:J87"/>
    <mergeCell ref="K86:K87"/>
    <mergeCell ref="L5:L12"/>
    <mergeCell ref="L13:L20"/>
    <mergeCell ref="L37:L44"/>
    <mergeCell ref="L50:L57"/>
    <mergeCell ref="L58:L65"/>
    <mergeCell ref="L66:L73"/>
    <mergeCell ref="L74:L81"/>
    <mergeCell ref="L82:L89"/>
    <mergeCell ref="J19:J20"/>
    <mergeCell ref="K19:K20"/>
    <mergeCell ref="L21:L28"/>
    <mergeCell ref="M21:M28"/>
    <mergeCell ref="M37:M44"/>
    <mergeCell ref="J23:J24"/>
    <mergeCell ref="K23:K24"/>
    <mergeCell ref="J25:J26"/>
    <mergeCell ref="K25:K26"/>
    <mergeCell ref="B29:B36"/>
    <mergeCell ref="B37:B44"/>
    <mergeCell ref="B47:C47"/>
    <mergeCell ref="B50:B57"/>
    <mergeCell ref="B58:B65"/>
    <mergeCell ref="B66:B73"/>
    <mergeCell ref="B74:B81"/>
    <mergeCell ref="B82:B89"/>
    <mergeCell ref="J27:J28"/>
    <mergeCell ref="K27:K28"/>
    <mergeCell ref="K29:K30"/>
    <mergeCell ref="J37:J38"/>
    <mergeCell ref="K37:K38"/>
    <mergeCell ref="J39:J40"/>
    <mergeCell ref="K39:K40"/>
    <mergeCell ref="Q14:Q15"/>
    <mergeCell ref="R14:R15"/>
    <mergeCell ref="P10:P11"/>
    <mergeCell ref="Q10:Q11"/>
    <mergeCell ref="R10:R11"/>
    <mergeCell ref="P12:P13"/>
    <mergeCell ref="Q12:Q13"/>
    <mergeCell ref="R12:R13"/>
    <mergeCell ref="P14:P15"/>
    <mergeCell ref="P20:Q21"/>
    <mergeCell ref="P22:P23"/>
    <mergeCell ref="Q22:Q23"/>
    <mergeCell ref="P24:P25"/>
    <mergeCell ref="Q24:Q25"/>
    <mergeCell ref="P26:P27"/>
    <mergeCell ref="Q26:Q27"/>
    <mergeCell ref="O46:Q49"/>
    <mergeCell ref="O50:Q50"/>
    <mergeCell ref="O51:Q54"/>
    <mergeCell ref="O55:Q57"/>
    <mergeCell ref="O58:Q58"/>
    <mergeCell ref="O59:Q59"/>
    <mergeCell ref="O60:Q61"/>
    <mergeCell ref="P28:P29"/>
    <mergeCell ref="Q28:Q29"/>
    <mergeCell ref="P30:P31"/>
    <mergeCell ref="Q30:Q31"/>
    <mergeCell ref="O45:S45"/>
    <mergeCell ref="R46:S46"/>
    <mergeCell ref="R49:S49"/>
    <mergeCell ref="R55:S55"/>
    <mergeCell ref="R56:S56"/>
    <mergeCell ref="R57:S57"/>
    <mergeCell ref="R58:S58"/>
    <mergeCell ref="R59:S59"/>
    <mergeCell ref="R60:S60"/>
    <mergeCell ref="R61:S61"/>
    <mergeCell ref="R47:S47"/>
    <mergeCell ref="R48:S48"/>
    <mergeCell ref="R50:S50"/>
    <mergeCell ref="R51:S51"/>
    <mergeCell ref="R52:S52"/>
    <mergeCell ref="R53:S53"/>
    <mergeCell ref="R54:S54"/>
    <mergeCell ref="J7:J8"/>
    <mergeCell ref="K7:K8"/>
    <mergeCell ref="J9:J10"/>
    <mergeCell ref="K9:K10"/>
    <mergeCell ref="K5:K6"/>
    <mergeCell ref="P6:P7"/>
    <mergeCell ref="Q6:Q7"/>
    <mergeCell ref="R6:R7"/>
    <mergeCell ref="P8:P9"/>
    <mergeCell ref="Q8:Q9"/>
    <mergeCell ref="R8:R9"/>
    <mergeCell ref="J11:J12"/>
    <mergeCell ref="K11:K12"/>
    <mergeCell ref="J5:J6"/>
    <mergeCell ref="J13:J14"/>
    <mergeCell ref="K13:K14"/>
    <mergeCell ref="J15:J16"/>
    <mergeCell ref="K15:K16"/>
    <mergeCell ref="P16:P17"/>
    <mergeCell ref="Q16:Q17"/>
    <mergeCell ref="R16:R17"/>
    <mergeCell ref="J17:J18"/>
    <mergeCell ref="K17:K18"/>
    <mergeCell ref="J33:J34"/>
    <mergeCell ref="J35:J36"/>
    <mergeCell ref="J29:J30"/>
    <mergeCell ref="L29:L36"/>
    <mergeCell ref="M29:M36"/>
    <mergeCell ref="J31:J32"/>
    <mergeCell ref="K31:K32"/>
    <mergeCell ref="K33:K34"/>
    <mergeCell ref="K35:K36"/>
    <mergeCell ref="K50:K51"/>
    <mergeCell ref="M50:M57"/>
    <mergeCell ref="K52:K53"/>
    <mergeCell ref="K54:K55"/>
    <mergeCell ref="K56:K57"/>
    <mergeCell ref="J52:J53"/>
    <mergeCell ref="J54:J55"/>
    <mergeCell ref="J56:J57"/>
    <mergeCell ref="J41:J42"/>
    <mergeCell ref="K41:K42"/>
    <mergeCell ref="J43:J44"/>
    <mergeCell ref="K43:K44"/>
    <mergeCell ref="J47:M47"/>
    <mergeCell ref="J49:L49"/>
    <mergeCell ref="J50:J51"/>
    <mergeCell ref="J64:J65"/>
    <mergeCell ref="K64:K65"/>
    <mergeCell ref="J58:J59"/>
    <mergeCell ref="K58:K59"/>
    <mergeCell ref="M58:M65"/>
    <mergeCell ref="J60:J61"/>
    <mergeCell ref="K60:K61"/>
    <mergeCell ref="J62:J63"/>
    <mergeCell ref="K62:K63"/>
    <mergeCell ref="J72:J73"/>
    <mergeCell ref="K72:K73"/>
    <mergeCell ref="J66:J67"/>
    <mergeCell ref="K66:K67"/>
    <mergeCell ref="M66:M73"/>
    <mergeCell ref="J68:J69"/>
    <mergeCell ref="K68:K69"/>
    <mergeCell ref="J70:J71"/>
    <mergeCell ref="K70:K71"/>
    <mergeCell ref="J80:J81"/>
    <mergeCell ref="K80:K81"/>
    <mergeCell ref="J74:J75"/>
    <mergeCell ref="K74:K75"/>
    <mergeCell ref="M74:M81"/>
    <mergeCell ref="J76:J77"/>
    <mergeCell ref="K76:K77"/>
    <mergeCell ref="J78:J79"/>
    <mergeCell ref="K78:K79"/>
  </mergeCells>
  <dataValidations>
    <dataValidation type="list" allowBlank="1" showDropDown="1" showErrorMessage="1" sqref="C5:C44 C50:C89">
      <formula1>$U$3:$U$100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9.38"/>
    <col customWidth="1" min="3" max="3" width="15.38"/>
    <col customWidth="1" min="4" max="4" width="15.25"/>
    <col customWidth="1" min="5" max="5" width="21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9"/>
      <c r="C2" s="9"/>
      <c r="D2" s="9"/>
      <c r="E2" s="9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/>
      <c r="B3" s="16" t="s">
        <v>6</v>
      </c>
      <c r="C3" s="18"/>
      <c r="D3" s="18"/>
      <c r="E3" s="18"/>
      <c r="F3" s="19"/>
      <c r="G3" s="2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75" t="s">
        <v>7</v>
      </c>
      <c r="C4" s="77" t="s">
        <v>46</v>
      </c>
      <c r="D4" s="77" t="s">
        <v>48</v>
      </c>
      <c r="E4" s="77" t="s">
        <v>49</v>
      </c>
      <c r="F4" s="80" t="s">
        <v>50</v>
      </c>
      <c r="G4" s="2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85"/>
      <c r="C5" s="88"/>
      <c r="D5" s="88"/>
      <c r="E5" s="88"/>
      <c r="F5" s="90"/>
      <c r="G5" s="2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/>
      <c r="B6" s="85"/>
      <c r="C6" s="88"/>
      <c r="D6" s="88"/>
      <c r="E6" s="88"/>
      <c r="F6" s="90"/>
      <c r="G6" s="2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85"/>
      <c r="C7" s="88"/>
      <c r="D7" s="88"/>
      <c r="E7" s="88"/>
      <c r="F7" s="90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85"/>
      <c r="C8" s="88"/>
      <c r="D8" s="88"/>
      <c r="E8" s="88"/>
      <c r="F8" s="90"/>
      <c r="G8" s="2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85"/>
      <c r="C9" s="88"/>
      <c r="D9" s="88"/>
      <c r="E9" s="88"/>
      <c r="F9" s="90"/>
      <c r="G9" s="2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85"/>
      <c r="C10" s="88"/>
      <c r="D10" s="88"/>
      <c r="E10" s="88"/>
      <c r="F10" s="90"/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85"/>
      <c r="C11" s="88"/>
      <c r="D11" s="88"/>
      <c r="E11" s="88"/>
      <c r="F11" s="90"/>
      <c r="G11" s="2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85"/>
      <c r="C12" s="88"/>
      <c r="D12" s="88"/>
      <c r="E12" s="88"/>
      <c r="F12" s="90"/>
      <c r="G12" s="2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85"/>
      <c r="C13" s="88"/>
      <c r="D13" s="88"/>
      <c r="E13" s="88"/>
      <c r="F13" s="90"/>
      <c r="G13" s="2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85"/>
      <c r="C14" s="88"/>
      <c r="D14" s="88"/>
      <c r="E14" s="88"/>
      <c r="F14" s="90"/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11"/>
      <c r="C15" s="112"/>
      <c r="D15" s="112"/>
      <c r="E15" s="112"/>
      <c r="F15" s="114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18"/>
      <c r="C16" s="118"/>
      <c r="D16" s="118"/>
      <c r="E16" s="118"/>
      <c r="F16" s="1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topLeftCell="O1" activePane="topRight" state="frozen"/>
      <selection activeCell="P2" sqref="P2" pane="topRight"/>
    </sheetView>
  </sheetViews>
  <sheetFormatPr customHeight="1" defaultColWidth="12.63" defaultRowHeight="15.75"/>
  <cols>
    <col customWidth="1" min="1" max="1" width="3.25"/>
    <col customWidth="1" min="2" max="2" width="4.88"/>
    <col customWidth="1" min="3" max="3" width="3.25"/>
    <col customWidth="1" min="4" max="4" width="15.75"/>
    <col customWidth="1" min="5" max="5" width="7.63"/>
    <col customWidth="1" min="6" max="6" width="4.13"/>
    <col customWidth="1" min="7" max="7" width="6.5"/>
    <col customWidth="1" min="8" max="8" width="8.75"/>
    <col customWidth="1" min="9" max="9" width="2.38"/>
    <col customWidth="1" min="10" max="10" width="2.25"/>
    <col customWidth="1" min="11" max="12" width="2.38"/>
    <col customWidth="1" min="13" max="13" width="10.88"/>
    <col customWidth="1" min="14" max="14" width="10.75"/>
    <col customWidth="1" min="15" max="15" width="3.88"/>
    <col customWidth="1" min="16" max="16" width="3.63"/>
    <col customWidth="1" min="17" max="17" width="6.38"/>
    <col customWidth="1" min="18" max="18" width="7.63"/>
    <col customWidth="1" min="20" max="20" width="3.75"/>
    <col customWidth="1" min="21" max="21" width="3.63"/>
    <col customWidth="1" min="22" max="22" width="6.38"/>
    <col customWidth="1" min="23" max="23" width="7.63"/>
    <col customWidth="1" min="25" max="25" width="3.75"/>
    <col customWidth="1" min="26" max="26" width="3.63"/>
    <col customWidth="1" min="27" max="27" width="6.38"/>
    <col customWidth="1" min="28" max="28" width="7.63"/>
    <col customWidth="1" min="30" max="30" width="3.75"/>
    <col customWidth="1" min="31" max="31" width="3.63"/>
    <col customWidth="1" min="32" max="32" width="6.38"/>
    <col customWidth="1" min="33" max="33" width="7.63"/>
    <col customWidth="1" min="35" max="35" width="3.75"/>
    <col customWidth="1" min="36" max="36" width="3.63"/>
    <col customWidth="1" min="37" max="37" width="6.38"/>
    <col customWidth="1" min="38" max="38" width="7.63"/>
    <col customWidth="1" min="40" max="40" width="3.75"/>
    <col customWidth="1" min="41" max="41" width="3.63"/>
    <col customWidth="1" min="42" max="42" width="6.38"/>
    <col customWidth="1" min="43" max="43" width="7.63"/>
  </cols>
  <sheetData>
    <row r="1">
      <c r="A1" s="293"/>
      <c r="B1" s="293"/>
      <c r="C1" s="294"/>
      <c r="D1" s="294"/>
      <c r="E1" s="294"/>
      <c r="F1" s="294"/>
      <c r="G1" s="294"/>
      <c r="H1" s="294"/>
      <c r="I1" s="295"/>
      <c r="J1" s="295"/>
      <c r="K1" s="295"/>
      <c r="L1" s="295"/>
      <c r="M1" s="294"/>
      <c r="N1" s="294"/>
      <c r="O1" s="294"/>
      <c r="P1" s="295"/>
      <c r="Q1" s="295"/>
      <c r="R1" s="295"/>
      <c r="S1" s="295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6"/>
      <c r="AN1" s="294"/>
      <c r="AO1" s="297"/>
      <c r="AP1" s="294"/>
      <c r="AQ1" s="294"/>
      <c r="AR1" s="294"/>
    </row>
    <row r="2" ht="22.5" customHeight="1">
      <c r="A2" s="293"/>
      <c r="B2" s="298" t="s">
        <v>23</v>
      </c>
      <c r="C2" s="44" t="s">
        <v>186</v>
      </c>
      <c r="D2" s="299" t="s">
        <v>187</v>
      </c>
      <c r="E2" s="299" t="s">
        <v>188</v>
      </c>
      <c r="F2" s="299" t="s">
        <v>189</v>
      </c>
      <c r="G2" s="299" t="s">
        <v>190</v>
      </c>
      <c r="H2" s="300" t="s">
        <v>191</v>
      </c>
      <c r="I2" s="300" t="s">
        <v>192</v>
      </c>
      <c r="J2" s="207"/>
      <c r="K2" s="207"/>
      <c r="L2" s="301"/>
      <c r="M2" s="44" t="s">
        <v>193</v>
      </c>
      <c r="N2" s="302" t="s">
        <v>50</v>
      </c>
      <c r="O2" s="296"/>
      <c r="P2" s="303" t="s">
        <v>194</v>
      </c>
      <c r="Q2" s="18"/>
      <c r="R2" s="18"/>
      <c r="S2" s="19"/>
      <c r="T2" s="297"/>
      <c r="U2" s="303" t="s">
        <v>195</v>
      </c>
      <c r="V2" s="18"/>
      <c r="W2" s="18"/>
      <c r="X2" s="19"/>
      <c r="Y2" s="294"/>
      <c r="Z2" s="303" t="s">
        <v>196</v>
      </c>
      <c r="AA2" s="18"/>
      <c r="AB2" s="18"/>
      <c r="AC2" s="19"/>
      <c r="AD2" s="294"/>
      <c r="AE2" s="303" t="s">
        <v>197</v>
      </c>
      <c r="AF2" s="18"/>
      <c r="AG2" s="18"/>
      <c r="AH2" s="19"/>
      <c r="AI2" s="294"/>
      <c r="AJ2" s="303" t="s">
        <v>198</v>
      </c>
      <c r="AK2" s="18"/>
      <c r="AL2" s="18"/>
      <c r="AM2" s="19"/>
      <c r="AN2" s="294"/>
      <c r="AO2" s="303" t="s">
        <v>199</v>
      </c>
      <c r="AP2" s="18"/>
      <c r="AQ2" s="18"/>
      <c r="AR2" s="19"/>
    </row>
    <row r="3" ht="22.5" customHeight="1">
      <c r="A3" s="304"/>
      <c r="B3" s="305"/>
      <c r="C3" s="306"/>
      <c r="D3" s="127"/>
      <c r="E3" s="127"/>
      <c r="F3" s="127"/>
      <c r="G3" s="127"/>
      <c r="H3" s="307"/>
      <c r="I3" s="307"/>
      <c r="J3" s="308"/>
      <c r="K3" s="308"/>
      <c r="L3" s="306"/>
      <c r="M3" s="306"/>
      <c r="N3" s="309"/>
      <c r="O3" s="310"/>
      <c r="P3" s="311" t="s">
        <v>186</v>
      </c>
      <c r="Q3" s="312" t="s">
        <v>190</v>
      </c>
      <c r="R3" s="312" t="s">
        <v>200</v>
      </c>
      <c r="S3" s="313" t="s">
        <v>14</v>
      </c>
      <c r="T3" s="310"/>
      <c r="U3" s="311" t="s">
        <v>186</v>
      </c>
      <c r="V3" s="312" t="s">
        <v>190</v>
      </c>
      <c r="W3" s="312" t="s">
        <v>200</v>
      </c>
      <c r="X3" s="313" t="s">
        <v>14</v>
      </c>
      <c r="Y3" s="314"/>
      <c r="Z3" s="311" t="s">
        <v>186</v>
      </c>
      <c r="AA3" s="312" t="s">
        <v>190</v>
      </c>
      <c r="AB3" s="312" t="s">
        <v>200</v>
      </c>
      <c r="AC3" s="313" t="s">
        <v>14</v>
      </c>
      <c r="AD3" s="315"/>
      <c r="AE3" s="311" t="s">
        <v>186</v>
      </c>
      <c r="AF3" s="312" t="s">
        <v>190</v>
      </c>
      <c r="AG3" s="312" t="s">
        <v>200</v>
      </c>
      <c r="AH3" s="313" t="s">
        <v>14</v>
      </c>
      <c r="AI3" s="315"/>
      <c r="AJ3" s="311" t="s">
        <v>186</v>
      </c>
      <c r="AK3" s="312" t="s">
        <v>190</v>
      </c>
      <c r="AL3" s="312" t="s">
        <v>200</v>
      </c>
      <c r="AM3" s="313" t="s">
        <v>14</v>
      </c>
      <c r="AN3" s="316"/>
      <c r="AO3" s="311" t="s">
        <v>186</v>
      </c>
      <c r="AP3" s="312" t="s">
        <v>190</v>
      </c>
      <c r="AQ3" s="312" t="s">
        <v>200</v>
      </c>
      <c r="AR3" s="313" t="s">
        <v>14</v>
      </c>
    </row>
    <row r="4">
      <c r="A4" s="304"/>
      <c r="B4" s="305"/>
      <c r="C4" s="317">
        <v>1.0</v>
      </c>
      <c r="D4" s="318"/>
      <c r="E4" s="319"/>
      <c r="F4" s="320">
        <v>1.0</v>
      </c>
      <c r="G4" s="321"/>
      <c r="H4" s="322"/>
      <c r="I4" s="322"/>
      <c r="J4" s="322"/>
      <c r="K4" s="322"/>
      <c r="L4" s="322"/>
      <c r="M4" s="319" t="str">
        <f t="array" ref="M4">_xlfn.XLOOKUP(D4,DATABASETRAINING!$B$4:$B$300,DATABASETRAINING!$C$4:$C$300)</f>
        <v>#N/A</v>
      </c>
      <c r="N4" s="323" t="str">
        <f t="array" ref="N4">_xlfn.XLOOKUP(D4,DATABASETRAINING!$B$4:$B$300,DATABASETRAINING!$D$4:$D$300)</f>
        <v>#N/A</v>
      </c>
      <c r="O4" s="310"/>
      <c r="P4" s="324">
        <v>1.0</v>
      </c>
      <c r="Q4" s="325"/>
      <c r="R4" s="322"/>
      <c r="S4" s="326"/>
      <c r="T4" s="310"/>
      <c r="U4" s="324">
        <v>1.0</v>
      </c>
      <c r="V4" s="320"/>
      <c r="W4" s="322"/>
      <c r="X4" s="326"/>
      <c r="Y4" s="327"/>
      <c r="Z4" s="324">
        <v>1.0</v>
      </c>
      <c r="AA4" s="320"/>
      <c r="AB4" s="322"/>
      <c r="AC4" s="326"/>
      <c r="AD4" s="328"/>
      <c r="AE4" s="324">
        <v>1.0</v>
      </c>
      <c r="AF4" s="320"/>
      <c r="AG4" s="322"/>
      <c r="AH4" s="326"/>
      <c r="AI4" s="328"/>
      <c r="AJ4" s="324">
        <v>1.0</v>
      </c>
      <c r="AK4" s="320"/>
      <c r="AL4" s="322"/>
      <c r="AM4" s="326"/>
      <c r="AN4" s="329"/>
      <c r="AO4" s="324">
        <v>1.0</v>
      </c>
      <c r="AP4" s="320"/>
      <c r="AQ4" s="322"/>
      <c r="AR4" s="326"/>
    </row>
    <row r="5">
      <c r="A5" s="304"/>
      <c r="B5" s="305"/>
      <c r="C5" s="330"/>
      <c r="F5" s="320">
        <v>2.0</v>
      </c>
      <c r="G5" s="321"/>
      <c r="N5" s="229"/>
      <c r="O5" s="310"/>
      <c r="P5" s="324">
        <v>2.0</v>
      </c>
      <c r="Q5" s="325"/>
      <c r="R5" s="322"/>
      <c r="S5" s="229"/>
      <c r="T5" s="310"/>
      <c r="U5" s="324">
        <v>2.0</v>
      </c>
      <c r="V5" s="320"/>
      <c r="W5" s="322"/>
      <c r="X5" s="229"/>
      <c r="Y5" s="327"/>
      <c r="Z5" s="324">
        <v>2.0</v>
      </c>
      <c r="AA5" s="320"/>
      <c r="AB5" s="322"/>
      <c r="AC5" s="229"/>
      <c r="AD5" s="328"/>
      <c r="AE5" s="324">
        <v>2.0</v>
      </c>
      <c r="AF5" s="320"/>
      <c r="AG5" s="322"/>
      <c r="AH5" s="229"/>
      <c r="AI5" s="328"/>
      <c r="AJ5" s="324">
        <v>2.0</v>
      </c>
      <c r="AK5" s="320"/>
      <c r="AL5" s="322"/>
      <c r="AM5" s="229"/>
      <c r="AN5" s="329"/>
      <c r="AO5" s="324">
        <v>2.0</v>
      </c>
      <c r="AP5" s="320"/>
      <c r="AQ5" s="322"/>
      <c r="AR5" s="229"/>
    </row>
    <row r="6">
      <c r="A6" s="304"/>
      <c r="B6" s="305"/>
      <c r="C6" s="330"/>
      <c r="F6" s="320">
        <v>3.0</v>
      </c>
      <c r="G6" s="320"/>
      <c r="N6" s="229"/>
      <c r="O6" s="310"/>
      <c r="P6" s="324">
        <v>3.0</v>
      </c>
      <c r="Q6" s="325"/>
      <c r="R6" s="322"/>
      <c r="S6" s="229"/>
      <c r="T6" s="310"/>
      <c r="U6" s="324">
        <v>3.0</v>
      </c>
      <c r="V6" s="320"/>
      <c r="W6" s="322"/>
      <c r="X6" s="229"/>
      <c r="Y6" s="327"/>
      <c r="Z6" s="324">
        <v>3.0</v>
      </c>
      <c r="AA6" s="320"/>
      <c r="AB6" s="322"/>
      <c r="AC6" s="229"/>
      <c r="AD6" s="328"/>
      <c r="AE6" s="324">
        <v>3.0</v>
      </c>
      <c r="AF6" s="320"/>
      <c r="AG6" s="322"/>
      <c r="AH6" s="229"/>
      <c r="AI6" s="328"/>
      <c r="AJ6" s="324">
        <v>3.0</v>
      </c>
      <c r="AK6" s="320"/>
      <c r="AL6" s="322"/>
      <c r="AM6" s="229"/>
      <c r="AN6" s="329"/>
      <c r="AO6" s="324">
        <v>3.0</v>
      </c>
      <c r="AP6" s="320"/>
      <c r="AQ6" s="322"/>
      <c r="AR6" s="229"/>
    </row>
    <row r="7">
      <c r="A7" s="304"/>
      <c r="B7" s="305"/>
      <c r="C7" s="306"/>
      <c r="D7" s="246"/>
      <c r="E7" s="246"/>
      <c r="F7" s="331">
        <v>4.0</v>
      </c>
      <c r="G7" s="332"/>
      <c r="H7" s="246"/>
      <c r="I7" s="246"/>
      <c r="J7" s="246"/>
      <c r="K7" s="246"/>
      <c r="L7" s="246"/>
      <c r="M7" s="246"/>
      <c r="N7" s="152"/>
      <c r="O7" s="310"/>
      <c r="P7" s="333">
        <v>4.0</v>
      </c>
      <c r="Q7" s="331"/>
      <c r="R7" s="332"/>
      <c r="S7" s="152"/>
      <c r="T7" s="310"/>
      <c r="U7" s="333">
        <v>4.0</v>
      </c>
      <c r="V7" s="331"/>
      <c r="W7" s="332"/>
      <c r="X7" s="152"/>
      <c r="Y7" s="327"/>
      <c r="Z7" s="333">
        <v>4.0</v>
      </c>
      <c r="AA7" s="331"/>
      <c r="AB7" s="332"/>
      <c r="AC7" s="152"/>
      <c r="AD7" s="328"/>
      <c r="AE7" s="333">
        <v>4.0</v>
      </c>
      <c r="AF7" s="331"/>
      <c r="AG7" s="332"/>
      <c r="AH7" s="152"/>
      <c r="AI7" s="328"/>
      <c r="AJ7" s="333">
        <v>4.0</v>
      </c>
      <c r="AK7" s="331"/>
      <c r="AL7" s="332"/>
      <c r="AM7" s="152"/>
      <c r="AN7" s="329"/>
      <c r="AO7" s="333">
        <v>4.0</v>
      </c>
      <c r="AP7" s="331"/>
      <c r="AQ7" s="332"/>
      <c r="AR7" s="152"/>
    </row>
    <row r="8">
      <c r="A8" s="304"/>
      <c r="B8" s="305"/>
      <c r="C8" s="334">
        <v>2.0</v>
      </c>
      <c r="D8" s="318"/>
      <c r="E8" s="319"/>
      <c r="F8" s="320">
        <v>1.0</v>
      </c>
      <c r="G8" s="322"/>
      <c r="H8" s="322"/>
      <c r="I8" s="322"/>
      <c r="J8" s="322"/>
      <c r="K8" s="322"/>
      <c r="L8" s="322"/>
      <c r="M8" s="319" t="str">
        <f t="array" ref="M8">_xlfn.XLOOKUP(D8,DATABASETRAINING!$B$4:$B$300,DATABASETRAINING!$C$4:$C$300)</f>
        <v>#N/A</v>
      </c>
      <c r="N8" s="323" t="str">
        <f t="array" ref="N8">_xlfn.XLOOKUP(D8,DATABASETRAINING!$B$4:$B$300,DATABASETRAINING!$D$4:$D$300)</f>
        <v>#N/A</v>
      </c>
      <c r="O8" s="310"/>
      <c r="P8" s="324">
        <v>1.0</v>
      </c>
      <c r="Q8" s="320"/>
      <c r="R8" s="335"/>
      <c r="S8" s="336"/>
      <c r="T8" s="310"/>
      <c r="U8" s="324">
        <v>1.0</v>
      </c>
      <c r="V8" s="320"/>
      <c r="W8" s="335"/>
      <c r="X8" s="336"/>
      <c r="Y8" s="327"/>
      <c r="Z8" s="324">
        <v>1.0</v>
      </c>
      <c r="AA8" s="320"/>
      <c r="AB8" s="335"/>
      <c r="AC8" s="336"/>
      <c r="AD8" s="328"/>
      <c r="AE8" s="324">
        <v>1.0</v>
      </c>
      <c r="AF8" s="320"/>
      <c r="AG8" s="335"/>
      <c r="AH8" s="336"/>
      <c r="AI8" s="328"/>
      <c r="AJ8" s="324">
        <v>1.0</v>
      </c>
      <c r="AK8" s="320"/>
      <c r="AL8" s="335"/>
      <c r="AM8" s="336"/>
      <c r="AN8" s="329"/>
      <c r="AO8" s="324">
        <v>1.0</v>
      </c>
      <c r="AP8" s="320"/>
      <c r="AQ8" s="335"/>
      <c r="AR8" s="336"/>
    </row>
    <row r="9">
      <c r="A9" s="304"/>
      <c r="B9" s="305"/>
      <c r="C9" s="330"/>
      <c r="F9" s="320">
        <v>2.0</v>
      </c>
      <c r="G9" s="322"/>
      <c r="N9" s="229"/>
      <c r="O9" s="310"/>
      <c r="P9" s="324">
        <v>2.0</v>
      </c>
      <c r="Q9" s="320"/>
      <c r="R9" s="322"/>
      <c r="S9" s="229"/>
      <c r="T9" s="310"/>
      <c r="U9" s="324">
        <v>2.0</v>
      </c>
      <c r="V9" s="320"/>
      <c r="W9" s="322"/>
      <c r="X9" s="229"/>
      <c r="Y9" s="327"/>
      <c r="Z9" s="324">
        <v>2.0</v>
      </c>
      <c r="AA9" s="320"/>
      <c r="AB9" s="322"/>
      <c r="AC9" s="229"/>
      <c r="AD9" s="328"/>
      <c r="AE9" s="324">
        <v>2.0</v>
      </c>
      <c r="AF9" s="320"/>
      <c r="AG9" s="322"/>
      <c r="AH9" s="229"/>
      <c r="AI9" s="328"/>
      <c r="AJ9" s="324">
        <v>2.0</v>
      </c>
      <c r="AK9" s="320"/>
      <c r="AL9" s="322"/>
      <c r="AM9" s="229"/>
      <c r="AN9" s="329"/>
      <c r="AO9" s="324">
        <v>2.0</v>
      </c>
      <c r="AP9" s="320"/>
      <c r="AQ9" s="322"/>
      <c r="AR9" s="229"/>
    </row>
    <row r="10">
      <c r="A10" s="304"/>
      <c r="B10" s="305"/>
      <c r="C10" s="330"/>
      <c r="F10" s="320">
        <v>3.0</v>
      </c>
      <c r="G10" s="322"/>
      <c r="N10" s="229"/>
      <c r="O10" s="310"/>
      <c r="P10" s="324">
        <v>3.0</v>
      </c>
      <c r="Q10" s="320"/>
      <c r="R10" s="322"/>
      <c r="S10" s="229"/>
      <c r="T10" s="310"/>
      <c r="U10" s="324">
        <v>3.0</v>
      </c>
      <c r="V10" s="320"/>
      <c r="W10" s="322"/>
      <c r="X10" s="229"/>
      <c r="Y10" s="327"/>
      <c r="Z10" s="324">
        <v>3.0</v>
      </c>
      <c r="AA10" s="320"/>
      <c r="AB10" s="322"/>
      <c r="AC10" s="229"/>
      <c r="AD10" s="328"/>
      <c r="AE10" s="324">
        <v>3.0</v>
      </c>
      <c r="AF10" s="320"/>
      <c r="AG10" s="322"/>
      <c r="AH10" s="229"/>
      <c r="AI10" s="328"/>
      <c r="AJ10" s="324">
        <v>3.0</v>
      </c>
      <c r="AK10" s="320"/>
      <c r="AL10" s="322"/>
      <c r="AM10" s="229"/>
      <c r="AN10" s="329"/>
      <c r="AO10" s="324">
        <v>3.0</v>
      </c>
      <c r="AP10" s="320"/>
      <c r="AQ10" s="322"/>
      <c r="AR10" s="229"/>
    </row>
    <row r="11">
      <c r="A11" s="304"/>
      <c r="B11" s="305"/>
      <c r="C11" s="306"/>
      <c r="D11" s="246"/>
      <c r="E11" s="246"/>
      <c r="F11" s="331">
        <v>4.0</v>
      </c>
      <c r="G11" s="332"/>
      <c r="H11" s="246"/>
      <c r="I11" s="246"/>
      <c r="J11" s="246"/>
      <c r="K11" s="246"/>
      <c r="L11" s="246"/>
      <c r="M11" s="246"/>
      <c r="N11" s="152"/>
      <c r="O11" s="310"/>
      <c r="P11" s="333">
        <v>4.0</v>
      </c>
      <c r="Q11" s="331"/>
      <c r="R11" s="332"/>
      <c r="S11" s="152"/>
      <c r="T11" s="310"/>
      <c r="U11" s="333">
        <v>4.0</v>
      </c>
      <c r="V11" s="331"/>
      <c r="W11" s="332"/>
      <c r="X11" s="152"/>
      <c r="Y11" s="327"/>
      <c r="Z11" s="333">
        <v>4.0</v>
      </c>
      <c r="AA11" s="331"/>
      <c r="AB11" s="332"/>
      <c r="AC11" s="152"/>
      <c r="AD11" s="328"/>
      <c r="AE11" s="333">
        <v>4.0</v>
      </c>
      <c r="AF11" s="331"/>
      <c r="AG11" s="332"/>
      <c r="AH11" s="152"/>
      <c r="AI11" s="328"/>
      <c r="AJ11" s="333">
        <v>4.0</v>
      </c>
      <c r="AK11" s="331"/>
      <c r="AL11" s="332"/>
      <c r="AM11" s="152"/>
      <c r="AN11" s="329"/>
      <c r="AO11" s="333">
        <v>4.0</v>
      </c>
      <c r="AP11" s="331"/>
      <c r="AQ11" s="332"/>
      <c r="AR11" s="152"/>
    </row>
    <row r="12">
      <c r="A12" s="304"/>
      <c r="B12" s="305"/>
      <c r="C12" s="334">
        <v>3.0</v>
      </c>
      <c r="D12" s="318"/>
      <c r="E12" s="319"/>
      <c r="F12" s="320">
        <v>1.0</v>
      </c>
      <c r="G12" s="322"/>
      <c r="H12" s="322"/>
      <c r="I12" s="322"/>
      <c r="J12" s="322"/>
      <c r="K12" s="322"/>
      <c r="L12" s="322"/>
      <c r="M12" s="319" t="str">
        <f t="array" ref="M12">_xlfn.XLOOKUP(D12,DATABASETRAINING!$B$4:$B$300,DATABASETRAINING!$C$4:$C$300)</f>
        <v>#N/A</v>
      </c>
      <c r="N12" s="323" t="str">
        <f t="array" ref="N12">_xlfn.XLOOKUP(D12,DATABASETRAINING!$B$4:$B$300,DATABASETRAINING!$D$4:$D$300)</f>
        <v>#N/A</v>
      </c>
      <c r="O12" s="310"/>
      <c r="P12" s="324">
        <v>1.0</v>
      </c>
      <c r="Q12" s="320"/>
      <c r="R12" s="335"/>
      <c r="S12" s="336"/>
      <c r="T12" s="310"/>
      <c r="U12" s="324">
        <v>1.0</v>
      </c>
      <c r="V12" s="320"/>
      <c r="W12" s="335"/>
      <c r="X12" s="336"/>
      <c r="Y12" s="327"/>
      <c r="Z12" s="324">
        <v>1.0</v>
      </c>
      <c r="AA12" s="320"/>
      <c r="AB12" s="335"/>
      <c r="AC12" s="336"/>
      <c r="AD12" s="328"/>
      <c r="AE12" s="324">
        <v>1.0</v>
      </c>
      <c r="AF12" s="320"/>
      <c r="AG12" s="335"/>
      <c r="AH12" s="336"/>
      <c r="AI12" s="328"/>
      <c r="AJ12" s="324">
        <v>1.0</v>
      </c>
      <c r="AK12" s="320"/>
      <c r="AL12" s="335"/>
      <c r="AM12" s="336"/>
      <c r="AN12" s="329"/>
      <c r="AO12" s="324">
        <v>1.0</v>
      </c>
      <c r="AP12" s="320"/>
      <c r="AQ12" s="335"/>
      <c r="AR12" s="336"/>
    </row>
    <row r="13">
      <c r="A13" s="304"/>
      <c r="B13" s="305"/>
      <c r="C13" s="330"/>
      <c r="F13" s="320">
        <v>2.0</v>
      </c>
      <c r="G13" s="322"/>
      <c r="N13" s="229"/>
      <c r="O13" s="310"/>
      <c r="P13" s="324">
        <v>2.0</v>
      </c>
      <c r="Q13" s="320"/>
      <c r="R13" s="322"/>
      <c r="S13" s="229"/>
      <c r="T13" s="310"/>
      <c r="U13" s="324">
        <v>2.0</v>
      </c>
      <c r="V13" s="320"/>
      <c r="W13" s="322"/>
      <c r="X13" s="229"/>
      <c r="Y13" s="327"/>
      <c r="Z13" s="324">
        <v>2.0</v>
      </c>
      <c r="AA13" s="320"/>
      <c r="AB13" s="322"/>
      <c r="AC13" s="229"/>
      <c r="AD13" s="328"/>
      <c r="AE13" s="324">
        <v>2.0</v>
      </c>
      <c r="AF13" s="320"/>
      <c r="AG13" s="322"/>
      <c r="AH13" s="229"/>
      <c r="AI13" s="328"/>
      <c r="AJ13" s="324">
        <v>2.0</v>
      </c>
      <c r="AK13" s="320"/>
      <c r="AL13" s="322"/>
      <c r="AM13" s="229"/>
      <c r="AN13" s="329"/>
      <c r="AO13" s="324">
        <v>2.0</v>
      </c>
      <c r="AP13" s="320"/>
      <c r="AQ13" s="322"/>
      <c r="AR13" s="229"/>
    </row>
    <row r="14">
      <c r="A14" s="304"/>
      <c r="B14" s="305"/>
      <c r="C14" s="330"/>
      <c r="F14" s="320">
        <v>3.0</v>
      </c>
      <c r="G14" s="322"/>
      <c r="N14" s="229"/>
      <c r="O14" s="310"/>
      <c r="P14" s="324">
        <v>3.0</v>
      </c>
      <c r="Q14" s="320"/>
      <c r="R14" s="322"/>
      <c r="S14" s="229"/>
      <c r="T14" s="310"/>
      <c r="U14" s="324">
        <v>3.0</v>
      </c>
      <c r="V14" s="320"/>
      <c r="W14" s="322"/>
      <c r="X14" s="229"/>
      <c r="Y14" s="327"/>
      <c r="Z14" s="324">
        <v>3.0</v>
      </c>
      <c r="AA14" s="320"/>
      <c r="AB14" s="322"/>
      <c r="AC14" s="229"/>
      <c r="AD14" s="328"/>
      <c r="AE14" s="324">
        <v>3.0</v>
      </c>
      <c r="AF14" s="320"/>
      <c r="AG14" s="322"/>
      <c r="AH14" s="229"/>
      <c r="AI14" s="328"/>
      <c r="AJ14" s="324">
        <v>3.0</v>
      </c>
      <c r="AK14" s="320"/>
      <c r="AL14" s="322"/>
      <c r="AM14" s="229"/>
      <c r="AN14" s="329"/>
      <c r="AO14" s="324">
        <v>3.0</v>
      </c>
      <c r="AP14" s="320"/>
      <c r="AQ14" s="322"/>
      <c r="AR14" s="229"/>
    </row>
    <row r="15">
      <c r="A15" s="304"/>
      <c r="B15" s="305"/>
      <c r="C15" s="306"/>
      <c r="D15" s="246"/>
      <c r="E15" s="246"/>
      <c r="F15" s="331">
        <v>4.0</v>
      </c>
      <c r="G15" s="332"/>
      <c r="H15" s="246"/>
      <c r="I15" s="246"/>
      <c r="J15" s="246"/>
      <c r="K15" s="246"/>
      <c r="L15" s="246"/>
      <c r="M15" s="246"/>
      <c r="N15" s="152"/>
      <c r="O15" s="310"/>
      <c r="P15" s="333">
        <v>4.0</v>
      </c>
      <c r="Q15" s="331"/>
      <c r="R15" s="332"/>
      <c r="S15" s="152"/>
      <c r="T15" s="310"/>
      <c r="U15" s="333">
        <v>4.0</v>
      </c>
      <c r="V15" s="331"/>
      <c r="W15" s="332"/>
      <c r="X15" s="152"/>
      <c r="Y15" s="327"/>
      <c r="Z15" s="333">
        <v>4.0</v>
      </c>
      <c r="AA15" s="331"/>
      <c r="AB15" s="332"/>
      <c r="AC15" s="152"/>
      <c r="AD15" s="328"/>
      <c r="AE15" s="333">
        <v>4.0</v>
      </c>
      <c r="AF15" s="331"/>
      <c r="AG15" s="332"/>
      <c r="AH15" s="152"/>
      <c r="AI15" s="328"/>
      <c r="AJ15" s="333">
        <v>4.0</v>
      </c>
      <c r="AK15" s="331"/>
      <c r="AL15" s="332"/>
      <c r="AM15" s="152"/>
      <c r="AN15" s="329"/>
      <c r="AO15" s="333">
        <v>4.0</v>
      </c>
      <c r="AP15" s="331"/>
      <c r="AQ15" s="332"/>
      <c r="AR15" s="152"/>
    </row>
    <row r="16">
      <c r="A16" s="304"/>
      <c r="B16" s="305"/>
      <c r="C16" s="334">
        <v>4.0</v>
      </c>
      <c r="D16" s="318"/>
      <c r="E16" s="319"/>
      <c r="F16" s="320">
        <v>1.0</v>
      </c>
      <c r="G16" s="322"/>
      <c r="H16" s="322"/>
      <c r="I16" s="322"/>
      <c r="J16" s="322"/>
      <c r="K16" s="322"/>
      <c r="L16" s="322"/>
      <c r="M16" s="319" t="str">
        <f t="array" ref="M16">_xlfn.XLOOKUP(D16,DATABASETRAINING!$B$4:$B$300,DATABASETRAINING!$C$4:$C$300)</f>
        <v>#N/A</v>
      </c>
      <c r="N16" s="323" t="str">
        <f t="array" ref="N16">_xlfn.XLOOKUP(D16,DATABASETRAINING!$B$4:$B$300,DATABASETRAINING!$D$4:$D$300)</f>
        <v>#N/A</v>
      </c>
      <c r="O16" s="310"/>
      <c r="P16" s="324">
        <v>1.0</v>
      </c>
      <c r="Q16" s="320"/>
      <c r="R16" s="335"/>
      <c r="S16" s="336"/>
      <c r="T16" s="310"/>
      <c r="U16" s="324">
        <v>1.0</v>
      </c>
      <c r="V16" s="320"/>
      <c r="W16" s="335"/>
      <c r="X16" s="336"/>
      <c r="Y16" s="327"/>
      <c r="Z16" s="324">
        <v>1.0</v>
      </c>
      <c r="AA16" s="320"/>
      <c r="AB16" s="335"/>
      <c r="AC16" s="336"/>
      <c r="AD16" s="328"/>
      <c r="AE16" s="324">
        <v>1.0</v>
      </c>
      <c r="AF16" s="320"/>
      <c r="AG16" s="335"/>
      <c r="AH16" s="336"/>
      <c r="AI16" s="328"/>
      <c r="AJ16" s="324">
        <v>1.0</v>
      </c>
      <c r="AK16" s="320"/>
      <c r="AL16" s="335"/>
      <c r="AM16" s="336"/>
      <c r="AN16" s="329"/>
      <c r="AO16" s="324">
        <v>1.0</v>
      </c>
      <c r="AP16" s="320"/>
      <c r="AQ16" s="335"/>
      <c r="AR16" s="336"/>
    </row>
    <row r="17">
      <c r="A17" s="304"/>
      <c r="B17" s="305"/>
      <c r="C17" s="330"/>
      <c r="F17" s="320">
        <v>2.0</v>
      </c>
      <c r="G17" s="322"/>
      <c r="N17" s="229"/>
      <c r="O17" s="310"/>
      <c r="P17" s="324">
        <v>2.0</v>
      </c>
      <c r="Q17" s="320"/>
      <c r="R17" s="322"/>
      <c r="S17" s="229"/>
      <c r="T17" s="310"/>
      <c r="U17" s="324">
        <v>2.0</v>
      </c>
      <c r="V17" s="320"/>
      <c r="W17" s="322"/>
      <c r="X17" s="229"/>
      <c r="Y17" s="327"/>
      <c r="Z17" s="324">
        <v>2.0</v>
      </c>
      <c r="AA17" s="320"/>
      <c r="AB17" s="322"/>
      <c r="AC17" s="229"/>
      <c r="AD17" s="328"/>
      <c r="AE17" s="324">
        <v>2.0</v>
      </c>
      <c r="AF17" s="320"/>
      <c r="AG17" s="322"/>
      <c r="AH17" s="229"/>
      <c r="AI17" s="328"/>
      <c r="AJ17" s="324">
        <v>2.0</v>
      </c>
      <c r="AK17" s="320"/>
      <c r="AL17" s="322"/>
      <c r="AM17" s="229"/>
      <c r="AN17" s="329"/>
      <c r="AO17" s="324">
        <v>2.0</v>
      </c>
      <c r="AP17" s="320"/>
      <c r="AQ17" s="322"/>
      <c r="AR17" s="229"/>
    </row>
    <row r="18">
      <c r="A18" s="304"/>
      <c r="B18" s="305"/>
      <c r="C18" s="330"/>
      <c r="F18" s="320">
        <v>3.0</v>
      </c>
      <c r="G18" s="322"/>
      <c r="N18" s="229"/>
      <c r="O18" s="310"/>
      <c r="P18" s="324">
        <v>3.0</v>
      </c>
      <c r="Q18" s="320"/>
      <c r="R18" s="322"/>
      <c r="S18" s="229"/>
      <c r="T18" s="310"/>
      <c r="U18" s="324">
        <v>3.0</v>
      </c>
      <c r="V18" s="320"/>
      <c r="W18" s="322"/>
      <c r="X18" s="229"/>
      <c r="Y18" s="327"/>
      <c r="Z18" s="324">
        <v>3.0</v>
      </c>
      <c r="AA18" s="320"/>
      <c r="AB18" s="322"/>
      <c r="AC18" s="229"/>
      <c r="AD18" s="328"/>
      <c r="AE18" s="324">
        <v>3.0</v>
      </c>
      <c r="AF18" s="320"/>
      <c r="AG18" s="322"/>
      <c r="AH18" s="229"/>
      <c r="AI18" s="328"/>
      <c r="AJ18" s="324">
        <v>3.0</v>
      </c>
      <c r="AK18" s="320"/>
      <c r="AL18" s="322"/>
      <c r="AM18" s="229"/>
      <c r="AN18" s="329"/>
      <c r="AO18" s="324">
        <v>3.0</v>
      </c>
      <c r="AP18" s="320"/>
      <c r="AQ18" s="322"/>
      <c r="AR18" s="229"/>
    </row>
    <row r="19">
      <c r="A19" s="304"/>
      <c r="B19" s="305"/>
      <c r="C19" s="306"/>
      <c r="D19" s="246"/>
      <c r="E19" s="246"/>
      <c r="F19" s="331">
        <v>4.0</v>
      </c>
      <c r="G19" s="332"/>
      <c r="H19" s="246"/>
      <c r="I19" s="246"/>
      <c r="J19" s="246"/>
      <c r="K19" s="246"/>
      <c r="L19" s="246"/>
      <c r="M19" s="246"/>
      <c r="N19" s="152"/>
      <c r="O19" s="310"/>
      <c r="P19" s="333">
        <v>4.0</v>
      </c>
      <c r="Q19" s="331"/>
      <c r="R19" s="332"/>
      <c r="S19" s="152"/>
      <c r="T19" s="310"/>
      <c r="U19" s="333">
        <v>4.0</v>
      </c>
      <c r="V19" s="331"/>
      <c r="W19" s="332"/>
      <c r="X19" s="152"/>
      <c r="Y19" s="327"/>
      <c r="Z19" s="333">
        <v>4.0</v>
      </c>
      <c r="AA19" s="331"/>
      <c r="AB19" s="332"/>
      <c r="AC19" s="152"/>
      <c r="AD19" s="328"/>
      <c r="AE19" s="333">
        <v>4.0</v>
      </c>
      <c r="AF19" s="331"/>
      <c r="AG19" s="332"/>
      <c r="AH19" s="152"/>
      <c r="AI19" s="328"/>
      <c r="AJ19" s="333">
        <v>4.0</v>
      </c>
      <c r="AK19" s="331"/>
      <c r="AL19" s="332"/>
      <c r="AM19" s="152"/>
      <c r="AN19" s="329"/>
      <c r="AO19" s="333">
        <v>4.0</v>
      </c>
      <c r="AP19" s="331"/>
      <c r="AQ19" s="332"/>
      <c r="AR19" s="152"/>
    </row>
    <row r="20">
      <c r="A20" s="304"/>
      <c r="B20" s="305"/>
      <c r="C20" s="334">
        <v>5.0</v>
      </c>
      <c r="D20" s="318"/>
      <c r="E20" s="319"/>
      <c r="F20" s="320">
        <v>1.0</v>
      </c>
      <c r="G20" s="322"/>
      <c r="H20" s="322"/>
      <c r="I20" s="322"/>
      <c r="J20" s="322"/>
      <c r="K20" s="322"/>
      <c r="L20" s="322"/>
      <c r="M20" s="319" t="str">
        <f t="array" ref="M20">_xlfn.XLOOKUP(D20,DATABASETRAINING!$B$4:$B$300,DATABASETRAINING!$C$4:$C$300)</f>
        <v>#N/A</v>
      </c>
      <c r="N20" s="323" t="str">
        <f t="array" ref="N20">_xlfn.XLOOKUP(D20,DATABASETRAINING!$B$4:$B$300,DATABASETRAINING!$D$4:$D$300)</f>
        <v>#N/A</v>
      </c>
      <c r="O20" s="310"/>
      <c r="P20" s="324">
        <v>1.0</v>
      </c>
      <c r="Q20" s="320"/>
      <c r="R20" s="335"/>
      <c r="S20" s="336"/>
      <c r="T20" s="310"/>
      <c r="U20" s="324">
        <v>1.0</v>
      </c>
      <c r="V20" s="320"/>
      <c r="W20" s="335"/>
      <c r="X20" s="336"/>
      <c r="Y20" s="327"/>
      <c r="Z20" s="324">
        <v>1.0</v>
      </c>
      <c r="AA20" s="320"/>
      <c r="AB20" s="335"/>
      <c r="AC20" s="336"/>
      <c r="AD20" s="328"/>
      <c r="AE20" s="324">
        <v>1.0</v>
      </c>
      <c r="AF20" s="320"/>
      <c r="AG20" s="335"/>
      <c r="AH20" s="336"/>
      <c r="AI20" s="328"/>
      <c r="AJ20" s="324">
        <v>1.0</v>
      </c>
      <c r="AK20" s="320"/>
      <c r="AL20" s="335"/>
      <c r="AM20" s="336"/>
      <c r="AN20" s="329"/>
      <c r="AO20" s="324">
        <v>1.0</v>
      </c>
      <c r="AP20" s="320"/>
      <c r="AQ20" s="335"/>
      <c r="AR20" s="336"/>
    </row>
    <row r="21">
      <c r="A21" s="304"/>
      <c r="B21" s="305"/>
      <c r="C21" s="330"/>
      <c r="F21" s="320">
        <v>2.0</v>
      </c>
      <c r="G21" s="322"/>
      <c r="N21" s="229"/>
      <c r="O21" s="310"/>
      <c r="P21" s="324">
        <v>2.0</v>
      </c>
      <c r="Q21" s="320"/>
      <c r="R21" s="322"/>
      <c r="S21" s="229"/>
      <c r="T21" s="310"/>
      <c r="U21" s="324">
        <v>2.0</v>
      </c>
      <c r="V21" s="320"/>
      <c r="W21" s="322"/>
      <c r="X21" s="229"/>
      <c r="Y21" s="327"/>
      <c r="Z21" s="324">
        <v>2.0</v>
      </c>
      <c r="AA21" s="320"/>
      <c r="AB21" s="322"/>
      <c r="AC21" s="229"/>
      <c r="AD21" s="328"/>
      <c r="AE21" s="324">
        <v>2.0</v>
      </c>
      <c r="AF21" s="320"/>
      <c r="AG21" s="322"/>
      <c r="AH21" s="229"/>
      <c r="AI21" s="328"/>
      <c r="AJ21" s="324">
        <v>2.0</v>
      </c>
      <c r="AK21" s="320"/>
      <c r="AL21" s="322"/>
      <c r="AM21" s="229"/>
      <c r="AN21" s="329"/>
      <c r="AO21" s="324">
        <v>2.0</v>
      </c>
      <c r="AP21" s="320"/>
      <c r="AQ21" s="322"/>
      <c r="AR21" s="229"/>
    </row>
    <row r="22">
      <c r="A22" s="304"/>
      <c r="B22" s="305"/>
      <c r="C22" s="330"/>
      <c r="F22" s="320">
        <v>3.0</v>
      </c>
      <c r="G22" s="322"/>
      <c r="N22" s="229"/>
      <c r="O22" s="310"/>
      <c r="P22" s="324">
        <v>3.0</v>
      </c>
      <c r="Q22" s="320"/>
      <c r="R22" s="322"/>
      <c r="S22" s="229"/>
      <c r="T22" s="310"/>
      <c r="U22" s="324">
        <v>3.0</v>
      </c>
      <c r="V22" s="320"/>
      <c r="W22" s="322"/>
      <c r="X22" s="229"/>
      <c r="Y22" s="327"/>
      <c r="Z22" s="324">
        <v>3.0</v>
      </c>
      <c r="AA22" s="320"/>
      <c r="AB22" s="322"/>
      <c r="AC22" s="229"/>
      <c r="AD22" s="328"/>
      <c r="AE22" s="324">
        <v>3.0</v>
      </c>
      <c r="AF22" s="320"/>
      <c r="AG22" s="322"/>
      <c r="AH22" s="229"/>
      <c r="AI22" s="328"/>
      <c r="AJ22" s="324">
        <v>3.0</v>
      </c>
      <c r="AK22" s="320"/>
      <c r="AL22" s="322"/>
      <c r="AM22" s="229"/>
      <c r="AN22" s="329"/>
      <c r="AO22" s="324">
        <v>3.0</v>
      </c>
      <c r="AP22" s="320"/>
      <c r="AQ22" s="322"/>
      <c r="AR22" s="229"/>
    </row>
    <row r="23">
      <c r="A23" s="304"/>
      <c r="B23" s="305"/>
      <c r="C23" s="306"/>
      <c r="D23" s="246"/>
      <c r="E23" s="246"/>
      <c r="F23" s="331">
        <v>4.0</v>
      </c>
      <c r="G23" s="332"/>
      <c r="H23" s="246"/>
      <c r="I23" s="246"/>
      <c r="J23" s="246"/>
      <c r="K23" s="246"/>
      <c r="L23" s="246"/>
      <c r="M23" s="246"/>
      <c r="N23" s="152"/>
      <c r="O23" s="310"/>
      <c r="P23" s="333">
        <v>4.0</v>
      </c>
      <c r="Q23" s="331"/>
      <c r="R23" s="332"/>
      <c r="S23" s="152"/>
      <c r="T23" s="310"/>
      <c r="U23" s="333">
        <v>4.0</v>
      </c>
      <c r="V23" s="331"/>
      <c r="W23" s="332"/>
      <c r="X23" s="152"/>
      <c r="Y23" s="327"/>
      <c r="Z23" s="333">
        <v>4.0</v>
      </c>
      <c r="AA23" s="331"/>
      <c r="AB23" s="332"/>
      <c r="AC23" s="152"/>
      <c r="AD23" s="328"/>
      <c r="AE23" s="333">
        <v>4.0</v>
      </c>
      <c r="AF23" s="331"/>
      <c r="AG23" s="332"/>
      <c r="AH23" s="152"/>
      <c r="AI23" s="328"/>
      <c r="AJ23" s="333">
        <v>4.0</v>
      </c>
      <c r="AK23" s="331"/>
      <c r="AL23" s="332"/>
      <c r="AM23" s="152"/>
      <c r="AN23" s="329"/>
      <c r="AO23" s="333">
        <v>4.0</v>
      </c>
      <c r="AP23" s="331"/>
      <c r="AQ23" s="332"/>
      <c r="AR23" s="152"/>
    </row>
    <row r="24">
      <c r="A24" s="304"/>
      <c r="B24" s="305"/>
      <c r="C24" s="334">
        <v>6.0</v>
      </c>
      <c r="D24" s="318"/>
      <c r="E24" s="337"/>
      <c r="F24" s="338">
        <v>1.0</v>
      </c>
      <c r="G24" s="335"/>
      <c r="H24" s="335"/>
      <c r="I24" s="335"/>
      <c r="J24" s="335"/>
      <c r="K24" s="335"/>
      <c r="L24" s="335"/>
      <c r="M24" s="319" t="str">
        <f t="array" ref="M24">_xlfn.XLOOKUP(D24,DATABASETRAINING!$B$4:$B$300,DATABASETRAINING!$C$4:$C$300)</f>
        <v>#N/A</v>
      </c>
      <c r="N24" s="323" t="str">
        <f t="array" ref="N24">_xlfn.XLOOKUP(D24,DATABASETRAINING!$B$4:$B$300,DATABASETRAINING!$D$4:$D$300)</f>
        <v>#N/A</v>
      </c>
      <c r="O24" s="310"/>
      <c r="P24" s="324">
        <v>1.0</v>
      </c>
      <c r="Q24" s="320"/>
      <c r="R24" s="335"/>
      <c r="S24" s="336"/>
      <c r="T24" s="310"/>
      <c r="U24" s="324">
        <v>1.0</v>
      </c>
      <c r="V24" s="320"/>
      <c r="W24" s="335"/>
      <c r="X24" s="336"/>
      <c r="Y24" s="327"/>
      <c r="Z24" s="324">
        <v>1.0</v>
      </c>
      <c r="AA24" s="320"/>
      <c r="AB24" s="335"/>
      <c r="AC24" s="336"/>
      <c r="AD24" s="328"/>
      <c r="AE24" s="324">
        <v>1.0</v>
      </c>
      <c r="AF24" s="320"/>
      <c r="AG24" s="335"/>
      <c r="AH24" s="336"/>
      <c r="AI24" s="328"/>
      <c r="AJ24" s="324">
        <v>1.0</v>
      </c>
      <c r="AK24" s="320"/>
      <c r="AL24" s="335"/>
      <c r="AM24" s="336"/>
      <c r="AN24" s="329"/>
      <c r="AO24" s="324">
        <v>1.0</v>
      </c>
      <c r="AP24" s="320"/>
      <c r="AQ24" s="335"/>
      <c r="AR24" s="336"/>
    </row>
    <row r="25">
      <c r="A25" s="304"/>
      <c r="B25" s="305"/>
      <c r="C25" s="330"/>
      <c r="F25" s="320">
        <v>2.0</v>
      </c>
      <c r="G25" s="322"/>
      <c r="N25" s="229"/>
      <c r="O25" s="310"/>
      <c r="P25" s="324">
        <v>2.0</v>
      </c>
      <c r="Q25" s="320"/>
      <c r="R25" s="322"/>
      <c r="S25" s="229"/>
      <c r="T25" s="310"/>
      <c r="U25" s="324">
        <v>2.0</v>
      </c>
      <c r="V25" s="320"/>
      <c r="W25" s="322"/>
      <c r="X25" s="229"/>
      <c r="Y25" s="327"/>
      <c r="Z25" s="324">
        <v>2.0</v>
      </c>
      <c r="AA25" s="320"/>
      <c r="AB25" s="322"/>
      <c r="AC25" s="229"/>
      <c r="AD25" s="328"/>
      <c r="AE25" s="324">
        <v>2.0</v>
      </c>
      <c r="AF25" s="320"/>
      <c r="AG25" s="322"/>
      <c r="AH25" s="229"/>
      <c r="AI25" s="328"/>
      <c r="AJ25" s="324">
        <v>2.0</v>
      </c>
      <c r="AK25" s="320"/>
      <c r="AL25" s="322"/>
      <c r="AM25" s="229"/>
      <c r="AN25" s="329"/>
      <c r="AO25" s="324">
        <v>2.0</v>
      </c>
      <c r="AP25" s="320"/>
      <c r="AQ25" s="322"/>
      <c r="AR25" s="229"/>
    </row>
    <row r="26">
      <c r="A26" s="304"/>
      <c r="B26" s="305"/>
      <c r="C26" s="330"/>
      <c r="F26" s="320">
        <v>3.0</v>
      </c>
      <c r="G26" s="322"/>
      <c r="N26" s="229"/>
      <c r="O26" s="310"/>
      <c r="P26" s="324">
        <v>3.0</v>
      </c>
      <c r="Q26" s="320"/>
      <c r="R26" s="322"/>
      <c r="S26" s="229"/>
      <c r="T26" s="310"/>
      <c r="U26" s="324">
        <v>3.0</v>
      </c>
      <c r="V26" s="320"/>
      <c r="W26" s="322"/>
      <c r="X26" s="229"/>
      <c r="Y26" s="327"/>
      <c r="Z26" s="324">
        <v>3.0</v>
      </c>
      <c r="AA26" s="320"/>
      <c r="AB26" s="322"/>
      <c r="AC26" s="229"/>
      <c r="AD26" s="328"/>
      <c r="AE26" s="324">
        <v>3.0</v>
      </c>
      <c r="AF26" s="320"/>
      <c r="AG26" s="322"/>
      <c r="AH26" s="229"/>
      <c r="AI26" s="328"/>
      <c r="AJ26" s="324">
        <v>3.0</v>
      </c>
      <c r="AK26" s="320"/>
      <c r="AL26" s="322"/>
      <c r="AM26" s="229"/>
      <c r="AN26" s="329"/>
      <c r="AO26" s="324">
        <v>3.0</v>
      </c>
      <c r="AP26" s="320"/>
      <c r="AQ26" s="322"/>
      <c r="AR26" s="229"/>
    </row>
    <row r="27">
      <c r="A27" s="304"/>
      <c r="B27" s="305"/>
      <c r="C27" s="306"/>
      <c r="D27" s="246"/>
      <c r="E27" s="246"/>
      <c r="F27" s="331">
        <v>4.0</v>
      </c>
      <c r="G27" s="332"/>
      <c r="H27" s="246"/>
      <c r="I27" s="246"/>
      <c r="J27" s="246"/>
      <c r="K27" s="246"/>
      <c r="L27" s="246"/>
      <c r="M27" s="246"/>
      <c r="N27" s="152"/>
      <c r="O27" s="310"/>
      <c r="P27" s="333">
        <v>4.0</v>
      </c>
      <c r="Q27" s="331"/>
      <c r="R27" s="332"/>
      <c r="S27" s="152"/>
      <c r="T27" s="310"/>
      <c r="U27" s="333">
        <v>4.0</v>
      </c>
      <c r="V27" s="331"/>
      <c r="W27" s="332"/>
      <c r="X27" s="152"/>
      <c r="Y27" s="327"/>
      <c r="Z27" s="333">
        <v>4.0</v>
      </c>
      <c r="AA27" s="331"/>
      <c r="AB27" s="332"/>
      <c r="AC27" s="152"/>
      <c r="AD27" s="328"/>
      <c r="AE27" s="333">
        <v>4.0</v>
      </c>
      <c r="AF27" s="331"/>
      <c r="AG27" s="332"/>
      <c r="AH27" s="152"/>
      <c r="AI27" s="328"/>
      <c r="AJ27" s="333">
        <v>4.0</v>
      </c>
      <c r="AK27" s="331"/>
      <c r="AL27" s="332"/>
      <c r="AM27" s="152"/>
      <c r="AN27" s="329"/>
      <c r="AO27" s="333">
        <v>4.0</v>
      </c>
      <c r="AP27" s="331"/>
      <c r="AQ27" s="332"/>
      <c r="AR27" s="152"/>
    </row>
    <row r="28">
      <c r="A28" s="304"/>
      <c r="B28" s="305"/>
      <c r="C28" s="334">
        <v>7.0</v>
      </c>
      <c r="D28" s="318"/>
      <c r="E28" s="337"/>
      <c r="F28" s="338">
        <v>1.0</v>
      </c>
      <c r="G28" s="335"/>
      <c r="H28" s="335"/>
      <c r="I28" s="335"/>
      <c r="J28" s="335"/>
      <c r="K28" s="335"/>
      <c r="L28" s="335"/>
      <c r="M28" s="319" t="str">
        <f t="array" ref="M28">_xlfn.XLOOKUP(D28,DATABASETRAINING!$B$4:$B$300,DATABASETRAINING!$C$4:$C$300)</f>
        <v>#N/A</v>
      </c>
      <c r="N28" s="323" t="str">
        <f t="array" ref="N28">_xlfn.XLOOKUP(D28,DATABASETRAINING!$B$4:$B$300,DATABASETRAINING!$D$4:$D$300)</f>
        <v>#N/A</v>
      </c>
      <c r="O28" s="310"/>
      <c r="P28" s="324">
        <v>1.0</v>
      </c>
      <c r="Q28" s="320"/>
      <c r="R28" s="335"/>
      <c r="S28" s="336"/>
      <c r="T28" s="310"/>
      <c r="U28" s="324">
        <v>1.0</v>
      </c>
      <c r="V28" s="320"/>
      <c r="W28" s="335"/>
      <c r="X28" s="336"/>
      <c r="Y28" s="327"/>
      <c r="Z28" s="324">
        <v>1.0</v>
      </c>
      <c r="AA28" s="320"/>
      <c r="AB28" s="335"/>
      <c r="AC28" s="336"/>
      <c r="AD28" s="328"/>
      <c r="AE28" s="324">
        <v>1.0</v>
      </c>
      <c r="AF28" s="320"/>
      <c r="AG28" s="335"/>
      <c r="AH28" s="336"/>
      <c r="AI28" s="328"/>
      <c r="AJ28" s="324">
        <v>1.0</v>
      </c>
      <c r="AK28" s="320"/>
      <c r="AL28" s="335"/>
      <c r="AM28" s="336"/>
      <c r="AN28" s="329"/>
      <c r="AO28" s="324">
        <v>1.0</v>
      </c>
      <c r="AP28" s="320"/>
      <c r="AQ28" s="335"/>
      <c r="AR28" s="336"/>
    </row>
    <row r="29">
      <c r="A29" s="304"/>
      <c r="B29" s="305"/>
      <c r="C29" s="330"/>
      <c r="F29" s="320">
        <v>2.0</v>
      </c>
      <c r="G29" s="322"/>
      <c r="N29" s="229"/>
      <c r="O29" s="310"/>
      <c r="P29" s="324">
        <v>2.0</v>
      </c>
      <c r="Q29" s="320"/>
      <c r="R29" s="322"/>
      <c r="S29" s="229"/>
      <c r="T29" s="310"/>
      <c r="U29" s="324">
        <v>2.0</v>
      </c>
      <c r="V29" s="320"/>
      <c r="W29" s="322"/>
      <c r="X29" s="229"/>
      <c r="Y29" s="327"/>
      <c r="Z29" s="324">
        <v>2.0</v>
      </c>
      <c r="AA29" s="320"/>
      <c r="AB29" s="322"/>
      <c r="AC29" s="229"/>
      <c r="AD29" s="328"/>
      <c r="AE29" s="324">
        <v>2.0</v>
      </c>
      <c r="AF29" s="320"/>
      <c r="AG29" s="322"/>
      <c r="AH29" s="229"/>
      <c r="AI29" s="328"/>
      <c r="AJ29" s="324">
        <v>2.0</v>
      </c>
      <c r="AK29" s="320"/>
      <c r="AL29" s="322"/>
      <c r="AM29" s="229"/>
      <c r="AN29" s="329"/>
      <c r="AO29" s="324">
        <v>2.0</v>
      </c>
      <c r="AP29" s="320"/>
      <c r="AQ29" s="322"/>
      <c r="AR29" s="229"/>
    </row>
    <row r="30">
      <c r="A30" s="304"/>
      <c r="B30" s="305"/>
      <c r="C30" s="330"/>
      <c r="F30" s="320">
        <v>3.0</v>
      </c>
      <c r="G30" s="322"/>
      <c r="N30" s="229"/>
      <c r="O30" s="310"/>
      <c r="P30" s="324">
        <v>3.0</v>
      </c>
      <c r="Q30" s="320"/>
      <c r="R30" s="322"/>
      <c r="S30" s="229"/>
      <c r="T30" s="310"/>
      <c r="U30" s="324">
        <v>3.0</v>
      </c>
      <c r="V30" s="320"/>
      <c r="W30" s="322"/>
      <c r="X30" s="229"/>
      <c r="Y30" s="327"/>
      <c r="Z30" s="324">
        <v>3.0</v>
      </c>
      <c r="AA30" s="320"/>
      <c r="AB30" s="322"/>
      <c r="AC30" s="229"/>
      <c r="AD30" s="328"/>
      <c r="AE30" s="324">
        <v>3.0</v>
      </c>
      <c r="AF30" s="320"/>
      <c r="AG30" s="322"/>
      <c r="AH30" s="229"/>
      <c r="AI30" s="328"/>
      <c r="AJ30" s="324">
        <v>3.0</v>
      </c>
      <c r="AK30" s="320"/>
      <c r="AL30" s="322"/>
      <c r="AM30" s="229"/>
      <c r="AN30" s="329"/>
      <c r="AO30" s="324">
        <v>3.0</v>
      </c>
      <c r="AP30" s="320"/>
      <c r="AQ30" s="322"/>
      <c r="AR30" s="229"/>
    </row>
    <row r="31">
      <c r="A31" s="304"/>
      <c r="B31" s="305"/>
      <c r="C31" s="306"/>
      <c r="D31" s="246"/>
      <c r="E31" s="246"/>
      <c r="F31" s="331">
        <v>4.0</v>
      </c>
      <c r="G31" s="332"/>
      <c r="H31" s="246"/>
      <c r="I31" s="246"/>
      <c r="J31" s="246"/>
      <c r="K31" s="246"/>
      <c r="L31" s="246"/>
      <c r="M31" s="246"/>
      <c r="N31" s="152"/>
      <c r="O31" s="310"/>
      <c r="P31" s="333">
        <v>4.0</v>
      </c>
      <c r="Q31" s="331"/>
      <c r="R31" s="332"/>
      <c r="S31" s="152"/>
      <c r="T31" s="310"/>
      <c r="U31" s="333">
        <v>4.0</v>
      </c>
      <c r="V31" s="331"/>
      <c r="W31" s="332"/>
      <c r="X31" s="152"/>
      <c r="Y31" s="327"/>
      <c r="Z31" s="333">
        <v>4.0</v>
      </c>
      <c r="AA31" s="331"/>
      <c r="AB31" s="332"/>
      <c r="AC31" s="152"/>
      <c r="AD31" s="328"/>
      <c r="AE31" s="333">
        <v>4.0</v>
      </c>
      <c r="AF31" s="331"/>
      <c r="AG31" s="332"/>
      <c r="AH31" s="152"/>
      <c r="AI31" s="328"/>
      <c r="AJ31" s="333">
        <v>4.0</v>
      </c>
      <c r="AK31" s="331"/>
      <c r="AL31" s="332"/>
      <c r="AM31" s="152"/>
      <c r="AN31" s="329"/>
      <c r="AO31" s="333">
        <v>4.0</v>
      </c>
      <c r="AP31" s="331"/>
      <c r="AQ31" s="332"/>
      <c r="AR31" s="152"/>
    </row>
    <row r="32">
      <c r="A32" s="304"/>
      <c r="B32" s="305"/>
      <c r="C32" s="334">
        <v>8.0</v>
      </c>
      <c r="D32" s="318"/>
      <c r="E32" s="319"/>
      <c r="F32" s="320">
        <v>1.0</v>
      </c>
      <c r="G32" s="322"/>
      <c r="H32" s="322"/>
      <c r="I32" s="322"/>
      <c r="J32" s="322"/>
      <c r="K32" s="322"/>
      <c r="L32" s="322"/>
      <c r="M32" s="319" t="str">
        <f t="array" ref="M32">_xlfn.XLOOKUP(D32,DATABASETRAINING!$B$4:$B$300,DATABASETRAINING!$C$4:$C$300)</f>
        <v>#N/A</v>
      </c>
      <c r="N32" s="323" t="str">
        <f t="array" ref="N32">_xlfn.XLOOKUP(D32,DATABASETRAINING!$B$4:$B$300,DATABASETRAINING!$D$4:$D$300)</f>
        <v>#N/A</v>
      </c>
      <c r="O32" s="310"/>
      <c r="P32" s="324">
        <v>1.0</v>
      </c>
      <c r="Q32" s="320"/>
      <c r="R32" s="335"/>
      <c r="S32" s="336"/>
      <c r="T32" s="310"/>
      <c r="U32" s="324">
        <v>1.0</v>
      </c>
      <c r="V32" s="320"/>
      <c r="W32" s="335"/>
      <c r="X32" s="336"/>
      <c r="Y32" s="327"/>
      <c r="Z32" s="324">
        <v>1.0</v>
      </c>
      <c r="AA32" s="320"/>
      <c r="AB32" s="335"/>
      <c r="AC32" s="336"/>
      <c r="AD32" s="328"/>
      <c r="AE32" s="324">
        <v>1.0</v>
      </c>
      <c r="AF32" s="320"/>
      <c r="AG32" s="335"/>
      <c r="AH32" s="336"/>
      <c r="AI32" s="328"/>
      <c r="AJ32" s="324">
        <v>1.0</v>
      </c>
      <c r="AK32" s="320"/>
      <c r="AL32" s="335"/>
      <c r="AM32" s="336"/>
      <c r="AN32" s="329"/>
      <c r="AO32" s="324">
        <v>1.0</v>
      </c>
      <c r="AP32" s="320"/>
      <c r="AQ32" s="335"/>
      <c r="AR32" s="336"/>
    </row>
    <row r="33">
      <c r="A33" s="304"/>
      <c r="B33" s="305"/>
      <c r="C33" s="330"/>
      <c r="F33" s="320">
        <v>2.0</v>
      </c>
      <c r="G33" s="322"/>
      <c r="N33" s="229"/>
      <c r="O33" s="310"/>
      <c r="P33" s="324">
        <v>2.0</v>
      </c>
      <c r="Q33" s="320"/>
      <c r="R33" s="322"/>
      <c r="S33" s="229"/>
      <c r="T33" s="310"/>
      <c r="U33" s="324">
        <v>2.0</v>
      </c>
      <c r="V33" s="320"/>
      <c r="W33" s="322"/>
      <c r="X33" s="229"/>
      <c r="Y33" s="327"/>
      <c r="Z33" s="324">
        <v>2.0</v>
      </c>
      <c r="AA33" s="320"/>
      <c r="AB33" s="322"/>
      <c r="AC33" s="229"/>
      <c r="AD33" s="328"/>
      <c r="AE33" s="324">
        <v>2.0</v>
      </c>
      <c r="AF33" s="320"/>
      <c r="AG33" s="322"/>
      <c r="AH33" s="229"/>
      <c r="AI33" s="328"/>
      <c r="AJ33" s="324">
        <v>2.0</v>
      </c>
      <c r="AK33" s="320"/>
      <c r="AL33" s="322"/>
      <c r="AM33" s="229"/>
      <c r="AN33" s="329"/>
      <c r="AO33" s="324">
        <v>2.0</v>
      </c>
      <c r="AP33" s="320"/>
      <c r="AQ33" s="322"/>
      <c r="AR33" s="229"/>
    </row>
    <row r="34">
      <c r="A34" s="304"/>
      <c r="B34" s="305"/>
      <c r="C34" s="330"/>
      <c r="F34" s="320">
        <v>3.0</v>
      </c>
      <c r="G34" s="322"/>
      <c r="N34" s="229"/>
      <c r="O34" s="310"/>
      <c r="P34" s="324">
        <v>3.0</v>
      </c>
      <c r="Q34" s="320"/>
      <c r="R34" s="322"/>
      <c r="S34" s="229"/>
      <c r="T34" s="310"/>
      <c r="U34" s="324">
        <v>3.0</v>
      </c>
      <c r="V34" s="320"/>
      <c r="W34" s="322"/>
      <c r="X34" s="229"/>
      <c r="Y34" s="327"/>
      <c r="Z34" s="324">
        <v>3.0</v>
      </c>
      <c r="AA34" s="320"/>
      <c r="AB34" s="322"/>
      <c r="AC34" s="229"/>
      <c r="AD34" s="328"/>
      <c r="AE34" s="324">
        <v>3.0</v>
      </c>
      <c r="AF34" s="320"/>
      <c r="AG34" s="322"/>
      <c r="AH34" s="229"/>
      <c r="AI34" s="328"/>
      <c r="AJ34" s="324">
        <v>3.0</v>
      </c>
      <c r="AK34" s="320"/>
      <c r="AL34" s="322"/>
      <c r="AM34" s="229"/>
      <c r="AN34" s="329"/>
      <c r="AO34" s="324">
        <v>3.0</v>
      </c>
      <c r="AP34" s="320"/>
      <c r="AQ34" s="322"/>
      <c r="AR34" s="229"/>
    </row>
    <row r="35">
      <c r="A35" s="304"/>
      <c r="B35" s="151"/>
      <c r="C35" s="339"/>
      <c r="D35" s="246"/>
      <c r="E35" s="246"/>
      <c r="F35" s="331">
        <v>4.0</v>
      </c>
      <c r="G35" s="340"/>
      <c r="H35" s="246"/>
      <c r="I35" s="246"/>
      <c r="J35" s="246"/>
      <c r="K35" s="246"/>
      <c r="L35" s="246"/>
      <c r="M35" s="246"/>
      <c r="N35" s="152"/>
      <c r="O35" s="310"/>
      <c r="P35" s="341">
        <v>4.0</v>
      </c>
      <c r="Q35" s="331"/>
      <c r="R35" s="332"/>
      <c r="S35" s="152"/>
      <c r="T35" s="310"/>
      <c r="U35" s="341">
        <v>4.0</v>
      </c>
      <c r="V35" s="331"/>
      <c r="W35" s="332"/>
      <c r="X35" s="152"/>
      <c r="Y35" s="327"/>
      <c r="Z35" s="341">
        <v>4.0</v>
      </c>
      <c r="AA35" s="331"/>
      <c r="AB35" s="332"/>
      <c r="AC35" s="152"/>
      <c r="AD35" s="328"/>
      <c r="AE35" s="341">
        <v>4.0</v>
      </c>
      <c r="AF35" s="331"/>
      <c r="AG35" s="332"/>
      <c r="AH35" s="152"/>
      <c r="AI35" s="328"/>
      <c r="AJ35" s="341">
        <v>4.0</v>
      </c>
      <c r="AK35" s="331"/>
      <c r="AL35" s="332"/>
      <c r="AM35" s="152"/>
      <c r="AN35" s="329"/>
      <c r="AO35" s="341">
        <v>4.0</v>
      </c>
      <c r="AP35" s="331"/>
      <c r="AQ35" s="332"/>
      <c r="AR35" s="152"/>
    </row>
    <row r="36">
      <c r="A36" s="293"/>
      <c r="B36" s="342"/>
      <c r="C36" s="343"/>
      <c r="D36" s="294"/>
      <c r="E36" s="343"/>
      <c r="F36" s="343"/>
      <c r="G36" s="343"/>
      <c r="H36" s="343"/>
      <c r="I36" s="343"/>
      <c r="J36" s="343"/>
      <c r="K36" s="343"/>
      <c r="L36" s="343"/>
      <c r="M36" s="294"/>
      <c r="N36" s="294"/>
      <c r="O36" s="293"/>
      <c r="P36" s="342"/>
      <c r="Q36" s="342"/>
      <c r="R36" s="342"/>
      <c r="S36" s="342"/>
      <c r="T36" s="293"/>
      <c r="U36" s="342"/>
      <c r="V36" s="342"/>
      <c r="W36" s="342"/>
      <c r="X36" s="342"/>
      <c r="Y36" s="293"/>
      <c r="Z36" s="342"/>
      <c r="AA36" s="342"/>
      <c r="AB36" s="342"/>
      <c r="AC36" s="342"/>
      <c r="AD36" s="293"/>
      <c r="AE36" s="342"/>
      <c r="AF36" s="342"/>
      <c r="AG36" s="342"/>
      <c r="AH36" s="342"/>
      <c r="AI36" s="293"/>
      <c r="AJ36" s="342"/>
      <c r="AK36" s="342"/>
      <c r="AL36" s="342"/>
      <c r="AM36" s="342"/>
      <c r="AN36" s="293"/>
      <c r="AO36" s="342"/>
      <c r="AP36" s="342"/>
      <c r="AQ36" s="342"/>
      <c r="AR36" s="342"/>
    </row>
    <row r="37">
      <c r="A37" s="293"/>
      <c r="B37" s="342"/>
      <c r="C37" s="344" t="s">
        <v>201</v>
      </c>
      <c r="D37" s="345"/>
      <c r="E37" s="345"/>
      <c r="F37" s="345"/>
      <c r="G37" s="345"/>
      <c r="H37" s="345"/>
      <c r="I37" s="346"/>
      <c r="J37" s="343"/>
      <c r="K37" s="343"/>
      <c r="L37" s="343"/>
      <c r="M37" s="294"/>
      <c r="N37" s="294"/>
      <c r="O37" s="293"/>
      <c r="P37" s="342"/>
      <c r="Q37" s="342"/>
      <c r="R37" s="342"/>
      <c r="S37" s="342"/>
      <c r="T37" s="293"/>
      <c r="U37" s="342"/>
      <c r="V37" s="342"/>
      <c r="W37" s="342"/>
      <c r="X37" s="342"/>
      <c r="Y37" s="293"/>
      <c r="Z37" s="342"/>
      <c r="AA37" s="342"/>
      <c r="AB37" s="342"/>
      <c r="AC37" s="342"/>
      <c r="AD37" s="293"/>
      <c r="AE37" s="342"/>
      <c r="AF37" s="342"/>
      <c r="AG37" s="342"/>
      <c r="AH37" s="342"/>
      <c r="AI37" s="293"/>
      <c r="AJ37" s="342"/>
      <c r="AK37" s="342"/>
      <c r="AL37" s="342"/>
      <c r="AM37" s="342"/>
      <c r="AN37" s="293"/>
      <c r="AO37" s="342"/>
      <c r="AP37" s="342"/>
      <c r="AQ37" s="342"/>
      <c r="AR37" s="342"/>
    </row>
    <row r="38">
      <c r="A38" s="293"/>
      <c r="B38" s="293"/>
      <c r="C38" s="347" t="s">
        <v>202</v>
      </c>
      <c r="E38" s="348" t="s">
        <v>203</v>
      </c>
      <c r="I38" s="349"/>
      <c r="J38" s="294"/>
      <c r="K38" s="294"/>
      <c r="L38" s="294"/>
      <c r="M38" s="294"/>
      <c r="N38" s="294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</row>
    <row r="39">
      <c r="A39" s="293"/>
      <c r="B39" s="293"/>
      <c r="C39" s="350"/>
      <c r="I39" s="349"/>
      <c r="J39" s="295"/>
      <c r="K39" s="295"/>
      <c r="L39" s="295"/>
      <c r="M39" s="295"/>
      <c r="N39" s="295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</row>
    <row r="40">
      <c r="A40" s="293"/>
      <c r="B40" s="293"/>
      <c r="C40" s="351"/>
      <c r="D40" s="352"/>
      <c r="E40" s="352"/>
      <c r="F40" s="352"/>
      <c r="G40" s="352"/>
      <c r="H40" s="352"/>
      <c r="I40" s="353"/>
      <c r="J40" s="295"/>
      <c r="K40" s="295"/>
      <c r="L40" s="295"/>
      <c r="M40" s="295"/>
      <c r="N40" s="295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</row>
    <row r="41">
      <c r="A41" s="293"/>
      <c r="B41" s="293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293"/>
      <c r="AO41" s="293"/>
      <c r="AP41" s="293"/>
      <c r="AQ41" s="293"/>
      <c r="AR41" s="293"/>
    </row>
    <row r="42">
      <c r="A42" s="293"/>
      <c r="B42" s="304"/>
      <c r="C42" s="354" t="s">
        <v>204</v>
      </c>
      <c r="D42" s="345"/>
      <c r="E42" s="355"/>
      <c r="F42" s="356" t="s">
        <v>205</v>
      </c>
      <c r="G42" s="345"/>
      <c r="H42" s="345"/>
      <c r="I42" s="345"/>
      <c r="J42" s="345"/>
      <c r="K42" s="345"/>
      <c r="L42" s="345"/>
      <c r="M42" s="345"/>
      <c r="N42" s="346"/>
      <c r="O42" s="357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293"/>
      <c r="AL42" s="293"/>
      <c r="AM42" s="293"/>
      <c r="AN42" s="293"/>
      <c r="AO42" s="293"/>
      <c r="AP42" s="293"/>
      <c r="AQ42" s="293"/>
      <c r="AR42" s="293"/>
    </row>
    <row r="43">
      <c r="A43" s="293"/>
      <c r="B43" s="304"/>
      <c r="C43" s="350"/>
      <c r="E43" s="358"/>
      <c r="N43" s="349"/>
      <c r="O43" s="357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</row>
    <row r="44">
      <c r="A44" s="293"/>
      <c r="B44" s="304"/>
      <c r="C44" s="350"/>
      <c r="E44" s="358"/>
      <c r="N44" s="349"/>
      <c r="O44" s="357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</row>
    <row r="45">
      <c r="A45" s="293"/>
      <c r="B45" s="304"/>
      <c r="C45" s="350"/>
      <c r="E45" s="358"/>
      <c r="F45" s="359" t="s">
        <v>206</v>
      </c>
      <c r="N45" s="349"/>
      <c r="O45" s="357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3"/>
      <c r="AL45" s="293"/>
      <c r="AM45" s="293"/>
      <c r="AN45" s="293"/>
      <c r="AO45" s="293"/>
      <c r="AP45" s="293"/>
      <c r="AQ45" s="293"/>
      <c r="AR45" s="293"/>
    </row>
    <row r="46">
      <c r="A46" s="293"/>
      <c r="B46" s="304"/>
      <c r="C46" s="350"/>
      <c r="E46" s="358"/>
      <c r="N46" s="349"/>
      <c r="O46" s="357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293"/>
      <c r="AL46" s="293"/>
      <c r="AM46" s="293"/>
      <c r="AN46" s="293"/>
      <c r="AO46" s="293"/>
      <c r="AP46" s="293"/>
      <c r="AQ46" s="293"/>
      <c r="AR46" s="293"/>
    </row>
    <row r="47">
      <c r="A47" s="293"/>
      <c r="B47" s="304"/>
      <c r="C47" s="351"/>
      <c r="D47" s="352"/>
      <c r="E47" s="360"/>
      <c r="F47" s="352"/>
      <c r="G47" s="352"/>
      <c r="H47" s="352"/>
      <c r="I47" s="352"/>
      <c r="J47" s="352"/>
      <c r="K47" s="352"/>
      <c r="L47" s="352"/>
      <c r="M47" s="352"/>
      <c r="N47" s="353"/>
      <c r="O47" s="357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3"/>
      <c r="AL47" s="293"/>
      <c r="AM47" s="293"/>
      <c r="AN47" s="293"/>
      <c r="AO47" s="293"/>
      <c r="AP47" s="293"/>
      <c r="AQ47" s="293"/>
      <c r="AR47" s="293"/>
    </row>
    <row r="48">
      <c r="A48" s="293"/>
      <c r="B48" s="293"/>
      <c r="C48" s="343"/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</row>
    <row r="49">
      <c r="A49" s="293"/>
      <c r="B49" s="293"/>
      <c r="C49" s="295"/>
      <c r="D49" s="295"/>
      <c r="E49" s="295"/>
      <c r="F49" s="295"/>
      <c r="G49" s="295"/>
      <c r="H49" s="295"/>
      <c r="I49" s="294"/>
      <c r="J49" s="294"/>
      <c r="K49" s="294"/>
      <c r="L49" s="294"/>
      <c r="M49" s="294"/>
      <c r="N49" s="294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</row>
    <row r="50">
      <c r="A50" s="293"/>
      <c r="B50" s="304"/>
      <c r="C50" s="354" t="s">
        <v>207</v>
      </c>
      <c r="D50" s="345"/>
      <c r="E50" s="345"/>
      <c r="F50" s="345"/>
      <c r="G50" s="345"/>
      <c r="H50" s="346"/>
      <c r="I50" s="314"/>
      <c r="J50" s="361"/>
      <c r="K50" s="361"/>
      <c r="L50" s="361"/>
      <c r="M50" s="1"/>
      <c r="N50" s="1"/>
      <c r="O50" s="1"/>
      <c r="P50" s="1"/>
      <c r="Q50" s="1"/>
      <c r="R50" s="1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</row>
    <row r="51">
      <c r="A51" s="293"/>
      <c r="B51" s="304"/>
      <c r="C51" s="362"/>
      <c r="D51" s="363"/>
      <c r="E51" s="363"/>
      <c r="F51" s="363"/>
      <c r="G51" s="363"/>
      <c r="H51" s="364"/>
      <c r="I51" s="314"/>
      <c r="J51" s="361"/>
      <c r="K51" s="361"/>
      <c r="L51" s="361"/>
      <c r="M51" s="1"/>
      <c r="N51" s="1"/>
      <c r="O51" s="1"/>
      <c r="P51" s="1"/>
      <c r="Q51" s="1"/>
      <c r="R51" s="1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293"/>
      <c r="AD51" s="293"/>
      <c r="AE51" s="293"/>
      <c r="AF51" s="293"/>
      <c r="AG51" s="293"/>
      <c r="AH51" s="293"/>
      <c r="AI51" s="293"/>
      <c r="AJ51" s="293"/>
      <c r="AK51" s="293"/>
      <c r="AL51" s="293"/>
      <c r="AM51" s="293"/>
      <c r="AN51" s="293"/>
      <c r="AO51" s="293"/>
      <c r="AP51" s="293"/>
      <c r="AQ51" s="293"/>
      <c r="AR51" s="293"/>
    </row>
    <row r="52">
      <c r="A52" s="293"/>
      <c r="B52" s="304"/>
      <c r="C52" s="365" t="s">
        <v>208</v>
      </c>
      <c r="E52" s="366"/>
      <c r="H52" s="349"/>
      <c r="I52" s="367"/>
      <c r="J52" s="368"/>
      <c r="K52" s="368"/>
      <c r="L52" s="368"/>
      <c r="M52" s="1"/>
      <c r="N52" s="1"/>
      <c r="O52" s="1"/>
      <c r="P52" s="1"/>
      <c r="Q52" s="1"/>
      <c r="R52" s="1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</row>
    <row r="53">
      <c r="A53" s="293"/>
      <c r="B53" s="304"/>
      <c r="C53" s="350"/>
      <c r="H53" s="349"/>
      <c r="I53" s="367"/>
      <c r="J53" s="368"/>
      <c r="K53" s="368"/>
      <c r="L53" s="368"/>
      <c r="M53" s="1"/>
      <c r="N53" s="1"/>
      <c r="O53" s="1"/>
      <c r="P53" s="1"/>
      <c r="Q53" s="1"/>
      <c r="R53" s="1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</row>
    <row r="54">
      <c r="A54" s="293"/>
      <c r="B54" s="304"/>
      <c r="C54" s="365" t="s">
        <v>209</v>
      </c>
      <c r="E54" s="366"/>
      <c r="H54" s="349"/>
      <c r="I54" s="367"/>
      <c r="J54" s="368"/>
      <c r="K54" s="368"/>
      <c r="L54" s="368"/>
      <c r="M54" s="368"/>
      <c r="N54" s="368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3"/>
      <c r="AQ54" s="293"/>
      <c r="AR54" s="293"/>
    </row>
    <row r="55">
      <c r="A55" s="293"/>
      <c r="B55" s="304"/>
      <c r="C55" s="350"/>
      <c r="H55" s="349"/>
      <c r="I55" s="367"/>
      <c r="J55" s="368"/>
      <c r="K55" s="368"/>
      <c r="L55" s="368"/>
      <c r="M55" s="368"/>
      <c r="N55" s="368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3"/>
      <c r="AQ55" s="293"/>
      <c r="AR55" s="293"/>
    </row>
    <row r="56">
      <c r="A56" s="293"/>
      <c r="B56" s="304"/>
      <c r="C56" s="365" t="s">
        <v>210</v>
      </c>
      <c r="E56" s="366"/>
      <c r="H56" s="349"/>
      <c r="I56" s="367"/>
      <c r="J56" s="368"/>
      <c r="K56" s="368"/>
      <c r="L56" s="368"/>
      <c r="M56" s="368"/>
      <c r="N56" s="368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293"/>
    </row>
    <row r="57">
      <c r="A57" s="293"/>
      <c r="B57" s="304"/>
      <c r="C57" s="351"/>
      <c r="D57" s="352"/>
      <c r="E57" s="352"/>
      <c r="F57" s="352"/>
      <c r="G57" s="352"/>
      <c r="H57" s="353"/>
      <c r="I57" s="367"/>
      <c r="J57" s="368"/>
      <c r="K57" s="368"/>
      <c r="L57" s="368"/>
      <c r="M57" s="368"/>
      <c r="N57" s="368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  <c r="AC57" s="293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3"/>
      <c r="AQ57" s="293"/>
      <c r="AR57" s="293"/>
    </row>
    <row r="58">
      <c r="A58" s="293"/>
      <c r="B58" s="293"/>
      <c r="C58" s="343"/>
      <c r="D58" s="343"/>
      <c r="E58" s="343"/>
      <c r="F58" s="343"/>
      <c r="G58" s="343"/>
      <c r="H58" s="294"/>
      <c r="I58" s="294"/>
      <c r="J58" s="294"/>
      <c r="K58" s="294"/>
      <c r="L58" s="294"/>
      <c r="M58" s="294"/>
      <c r="N58" s="294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3"/>
      <c r="AQ58" s="293"/>
      <c r="AR58" s="293"/>
    </row>
    <row r="59">
      <c r="A59" s="293"/>
      <c r="B59" s="293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293"/>
      <c r="AR59" s="293"/>
    </row>
    <row r="60">
      <c r="A60" s="293"/>
      <c r="B60" s="304"/>
      <c r="C60" s="369" t="s">
        <v>211</v>
      </c>
      <c r="D60" s="363"/>
      <c r="E60" s="363"/>
      <c r="F60" s="363"/>
      <c r="G60" s="364"/>
      <c r="H60" s="294"/>
      <c r="I60" s="294"/>
      <c r="J60" s="294"/>
      <c r="K60" s="294"/>
      <c r="L60" s="294"/>
      <c r="M60" s="294"/>
      <c r="N60" s="294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3"/>
      <c r="AQ60" s="293"/>
      <c r="AR60" s="293"/>
    </row>
    <row r="61">
      <c r="A61" s="293"/>
      <c r="B61" s="304"/>
      <c r="C61" s="370" t="s">
        <v>212</v>
      </c>
      <c r="E61" s="366"/>
      <c r="G61" s="349"/>
      <c r="H61" s="294"/>
      <c r="I61" s="294"/>
      <c r="J61" s="294"/>
      <c r="K61" s="294"/>
      <c r="L61" s="294"/>
      <c r="M61" s="294"/>
      <c r="N61" s="294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</row>
    <row r="62">
      <c r="A62" s="293"/>
      <c r="B62" s="304"/>
      <c r="C62" s="370" t="s">
        <v>213</v>
      </c>
      <c r="E62" s="366"/>
      <c r="G62" s="349"/>
      <c r="H62" s="294"/>
      <c r="I62" s="294"/>
      <c r="J62" s="294"/>
      <c r="K62" s="294"/>
      <c r="L62" s="294"/>
      <c r="M62" s="294"/>
      <c r="N62" s="294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3"/>
      <c r="AQ62" s="293"/>
      <c r="AR62" s="293"/>
    </row>
    <row r="63">
      <c r="A63" s="293"/>
      <c r="B63" s="304"/>
      <c r="C63" s="370" t="s">
        <v>214</v>
      </c>
      <c r="E63" s="366"/>
      <c r="G63" s="349"/>
      <c r="H63" s="294"/>
      <c r="I63" s="294"/>
      <c r="J63" s="294"/>
      <c r="K63" s="294"/>
      <c r="L63" s="294"/>
      <c r="M63" s="294"/>
      <c r="N63" s="294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293"/>
      <c r="AR63" s="293"/>
    </row>
    <row r="64">
      <c r="A64" s="293"/>
      <c r="B64" s="304"/>
      <c r="C64" s="370" t="s">
        <v>215</v>
      </c>
      <c r="E64" s="366"/>
      <c r="G64" s="349"/>
      <c r="H64" s="294"/>
      <c r="I64" s="294"/>
      <c r="J64" s="294"/>
      <c r="K64" s="294"/>
      <c r="L64" s="294"/>
      <c r="M64" s="294"/>
      <c r="N64" s="294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</row>
    <row r="65">
      <c r="A65" s="293"/>
      <c r="B65" s="304"/>
      <c r="C65" s="370" t="s">
        <v>216</v>
      </c>
      <c r="E65" s="366"/>
      <c r="G65" s="349"/>
      <c r="H65" s="294"/>
      <c r="I65" s="294"/>
      <c r="J65" s="294"/>
      <c r="K65" s="294"/>
      <c r="L65" s="294"/>
      <c r="M65" s="294"/>
      <c r="N65" s="294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  <c r="AC65" s="293"/>
      <c r="AD65" s="293"/>
      <c r="AE65" s="293"/>
      <c r="AF65" s="293"/>
      <c r="AG65" s="293"/>
      <c r="AH65" s="293"/>
      <c r="AI65" s="293"/>
      <c r="AJ65" s="293"/>
      <c r="AK65" s="293"/>
      <c r="AL65" s="293"/>
      <c r="AM65" s="293"/>
      <c r="AN65" s="293"/>
      <c r="AO65" s="293"/>
      <c r="AP65" s="293"/>
      <c r="AQ65" s="293"/>
      <c r="AR65" s="293"/>
    </row>
    <row r="66">
      <c r="A66" s="293"/>
      <c r="B66" s="304"/>
      <c r="C66" s="370" t="s">
        <v>217</v>
      </c>
      <c r="E66" s="366"/>
      <c r="G66" s="349"/>
      <c r="H66" s="294"/>
      <c r="I66" s="294"/>
      <c r="J66" s="294"/>
      <c r="K66" s="294"/>
      <c r="L66" s="294"/>
      <c r="M66" s="294"/>
      <c r="N66" s="294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3"/>
      <c r="AQ66" s="293"/>
      <c r="AR66" s="293"/>
    </row>
    <row r="67">
      <c r="A67" s="293"/>
      <c r="B67" s="304"/>
      <c r="C67" s="371" t="s">
        <v>218</v>
      </c>
      <c r="D67" s="352"/>
      <c r="E67" s="372"/>
      <c r="F67" s="352"/>
      <c r="G67" s="353"/>
      <c r="H67" s="294"/>
      <c r="I67" s="294"/>
      <c r="J67" s="294"/>
      <c r="K67" s="294"/>
      <c r="L67" s="294"/>
      <c r="M67" s="294"/>
      <c r="N67" s="294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3"/>
      <c r="AD67" s="293"/>
      <c r="AE67" s="293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3"/>
      <c r="AQ67" s="293"/>
      <c r="AR67" s="293"/>
    </row>
    <row r="68">
      <c r="A68" s="293"/>
      <c r="B68" s="293"/>
      <c r="C68" s="343"/>
      <c r="D68" s="343"/>
      <c r="E68" s="343"/>
      <c r="F68" s="343"/>
      <c r="G68" s="343"/>
      <c r="H68" s="294"/>
      <c r="I68" s="294"/>
      <c r="J68" s="294"/>
      <c r="K68" s="294"/>
      <c r="L68" s="294"/>
      <c r="M68" s="294"/>
      <c r="N68" s="294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  <c r="AG68" s="293"/>
      <c r="AH68" s="293"/>
      <c r="AI68" s="293"/>
      <c r="AJ68" s="293"/>
      <c r="AK68" s="293"/>
      <c r="AL68" s="293"/>
      <c r="AM68" s="293"/>
      <c r="AN68" s="293"/>
      <c r="AO68" s="293"/>
      <c r="AP68" s="293"/>
      <c r="AQ68" s="293"/>
      <c r="AR68" s="293"/>
    </row>
    <row r="69">
      <c r="A69" s="293"/>
      <c r="B69" s="293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  <c r="AE69" s="293"/>
      <c r="AF69" s="293"/>
      <c r="AG69" s="293"/>
      <c r="AH69" s="293"/>
      <c r="AI69" s="293"/>
      <c r="AJ69" s="293"/>
      <c r="AK69" s="293"/>
      <c r="AL69" s="293"/>
      <c r="AM69" s="293"/>
      <c r="AN69" s="293"/>
      <c r="AO69" s="293"/>
      <c r="AP69" s="293"/>
      <c r="AQ69" s="293"/>
      <c r="AR69" s="293"/>
    </row>
    <row r="70">
      <c r="A70" s="293"/>
      <c r="B70" s="304"/>
      <c r="C70" s="369" t="s">
        <v>219</v>
      </c>
      <c r="D70" s="363"/>
      <c r="E70" s="363"/>
      <c r="F70" s="364"/>
      <c r="G70" s="293"/>
      <c r="H70" s="294"/>
      <c r="I70" s="294"/>
      <c r="J70" s="294"/>
      <c r="K70" s="294"/>
      <c r="L70" s="294"/>
      <c r="M70" s="294"/>
      <c r="N70" s="294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293"/>
      <c r="AJ70" s="293"/>
      <c r="AK70" s="293"/>
      <c r="AL70" s="293"/>
      <c r="AM70" s="293"/>
      <c r="AN70" s="293"/>
      <c r="AO70" s="293"/>
      <c r="AP70" s="293"/>
      <c r="AQ70" s="293"/>
      <c r="AR70" s="293"/>
    </row>
    <row r="71">
      <c r="A71" s="293"/>
      <c r="B71" s="304"/>
      <c r="C71" s="370" t="s">
        <v>220</v>
      </c>
      <c r="E71" s="366"/>
      <c r="F71" s="349"/>
      <c r="G71" s="294"/>
      <c r="H71" s="294"/>
      <c r="I71" s="294"/>
      <c r="J71" s="294"/>
      <c r="K71" s="294"/>
      <c r="L71" s="294"/>
      <c r="M71" s="294"/>
      <c r="N71" s="294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  <c r="AE71" s="293"/>
      <c r="AF71" s="293"/>
      <c r="AG71" s="293"/>
      <c r="AH71" s="293"/>
      <c r="AI71" s="293"/>
      <c r="AJ71" s="293"/>
      <c r="AK71" s="293"/>
      <c r="AL71" s="293"/>
      <c r="AM71" s="293"/>
      <c r="AN71" s="293"/>
      <c r="AO71" s="293"/>
      <c r="AP71" s="293"/>
      <c r="AQ71" s="293"/>
      <c r="AR71" s="293"/>
    </row>
    <row r="72">
      <c r="A72" s="293"/>
      <c r="B72" s="304"/>
      <c r="C72" s="370" t="s">
        <v>221</v>
      </c>
      <c r="E72" s="366"/>
      <c r="F72" s="349"/>
      <c r="G72" s="294"/>
      <c r="H72" s="294"/>
      <c r="I72" s="294"/>
      <c r="J72" s="294"/>
      <c r="K72" s="294"/>
      <c r="L72" s="294"/>
      <c r="M72" s="294"/>
      <c r="N72" s="294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  <c r="AE72" s="293"/>
      <c r="AF72" s="293"/>
      <c r="AG72" s="293"/>
      <c r="AH72" s="293"/>
      <c r="AI72" s="293"/>
      <c r="AJ72" s="293"/>
      <c r="AK72" s="293"/>
      <c r="AL72" s="293"/>
      <c r="AM72" s="293"/>
      <c r="AN72" s="293"/>
      <c r="AO72" s="293"/>
      <c r="AP72" s="293"/>
      <c r="AQ72" s="293"/>
      <c r="AR72" s="293"/>
    </row>
    <row r="73">
      <c r="A73" s="293"/>
      <c r="B73" s="304"/>
      <c r="C73" s="370" t="s">
        <v>222</v>
      </c>
      <c r="E73" s="366"/>
      <c r="F73" s="349"/>
      <c r="G73" s="294"/>
      <c r="H73" s="294"/>
      <c r="I73" s="294"/>
      <c r="J73" s="294"/>
      <c r="K73" s="294"/>
      <c r="L73" s="294"/>
      <c r="M73" s="294"/>
      <c r="N73" s="294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  <c r="AE73" s="293"/>
      <c r="AF73" s="293"/>
      <c r="AG73" s="293"/>
      <c r="AH73" s="293"/>
      <c r="AI73" s="293"/>
      <c r="AJ73" s="293"/>
      <c r="AK73" s="293"/>
      <c r="AL73" s="293"/>
      <c r="AM73" s="293"/>
      <c r="AN73" s="293"/>
      <c r="AO73" s="293"/>
      <c r="AP73" s="293"/>
      <c r="AQ73" s="293"/>
      <c r="AR73" s="293"/>
    </row>
    <row r="74">
      <c r="A74" s="293"/>
      <c r="B74" s="304"/>
      <c r="C74" s="370" t="s">
        <v>223</v>
      </c>
      <c r="E74" s="366"/>
      <c r="F74" s="349"/>
      <c r="G74" s="294"/>
      <c r="H74" s="294"/>
      <c r="I74" s="294"/>
      <c r="J74" s="294"/>
      <c r="K74" s="294"/>
      <c r="L74" s="294"/>
      <c r="M74" s="294"/>
      <c r="N74" s="294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93"/>
      <c r="AG74" s="293"/>
      <c r="AH74" s="293"/>
      <c r="AI74" s="293"/>
      <c r="AJ74" s="293"/>
      <c r="AK74" s="293"/>
      <c r="AL74" s="293"/>
      <c r="AM74" s="293"/>
      <c r="AN74" s="293"/>
      <c r="AO74" s="293"/>
      <c r="AP74" s="293"/>
      <c r="AQ74" s="293"/>
      <c r="AR74" s="293"/>
    </row>
    <row r="75">
      <c r="A75" s="293"/>
      <c r="B75" s="304"/>
      <c r="C75" s="370" t="s">
        <v>224</v>
      </c>
      <c r="E75" s="366"/>
      <c r="F75" s="349"/>
      <c r="G75" s="294"/>
      <c r="H75" s="294"/>
      <c r="I75" s="294"/>
      <c r="J75" s="294"/>
      <c r="K75" s="294"/>
      <c r="L75" s="294"/>
      <c r="M75" s="294"/>
      <c r="N75" s="294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  <c r="AE75" s="293"/>
      <c r="AF75" s="293"/>
      <c r="AG75" s="293"/>
      <c r="AH75" s="293"/>
      <c r="AI75" s="293"/>
      <c r="AJ75" s="293"/>
      <c r="AK75" s="293"/>
      <c r="AL75" s="293"/>
      <c r="AM75" s="293"/>
      <c r="AN75" s="293"/>
      <c r="AO75" s="293"/>
      <c r="AP75" s="293"/>
      <c r="AQ75" s="293"/>
      <c r="AR75" s="293"/>
    </row>
    <row r="76">
      <c r="A76" s="293"/>
      <c r="B76" s="304"/>
      <c r="C76" s="370" t="s">
        <v>225</v>
      </c>
      <c r="E76" s="366"/>
      <c r="F76" s="349"/>
      <c r="G76" s="294"/>
      <c r="H76" s="294"/>
      <c r="I76" s="294"/>
      <c r="J76" s="294"/>
      <c r="K76" s="294"/>
      <c r="L76" s="294"/>
      <c r="M76" s="294"/>
      <c r="N76" s="294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93"/>
      <c r="AG76" s="293"/>
      <c r="AH76" s="293"/>
      <c r="AI76" s="293"/>
      <c r="AJ76" s="293"/>
      <c r="AK76" s="293"/>
      <c r="AL76" s="293"/>
      <c r="AM76" s="293"/>
      <c r="AN76" s="293"/>
      <c r="AO76" s="293"/>
      <c r="AP76" s="293"/>
      <c r="AQ76" s="293"/>
      <c r="AR76" s="293"/>
    </row>
    <row r="77">
      <c r="A77" s="293"/>
      <c r="B77" s="304"/>
      <c r="C77" s="370" t="s">
        <v>226</v>
      </c>
      <c r="E77" s="366"/>
      <c r="F77" s="349"/>
      <c r="G77" s="294"/>
      <c r="H77" s="294"/>
      <c r="I77" s="294"/>
      <c r="J77" s="294"/>
      <c r="K77" s="294"/>
      <c r="L77" s="294"/>
      <c r="M77" s="294"/>
      <c r="N77" s="294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293"/>
      <c r="AJ77" s="293"/>
      <c r="AK77" s="293"/>
      <c r="AL77" s="293"/>
      <c r="AM77" s="293"/>
      <c r="AN77" s="293"/>
      <c r="AO77" s="293"/>
      <c r="AP77" s="293"/>
      <c r="AQ77" s="293"/>
      <c r="AR77" s="293"/>
    </row>
    <row r="78">
      <c r="A78" s="293"/>
      <c r="B78" s="304"/>
      <c r="C78" s="370" t="s">
        <v>227</v>
      </c>
      <c r="E78" s="366"/>
      <c r="F78" s="349"/>
      <c r="G78" s="294"/>
      <c r="H78" s="294"/>
      <c r="I78" s="294"/>
      <c r="J78" s="294"/>
      <c r="K78" s="294"/>
      <c r="L78" s="294"/>
      <c r="M78" s="294"/>
      <c r="N78" s="294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G78" s="293"/>
      <c r="AH78" s="293"/>
      <c r="AI78" s="293"/>
      <c r="AJ78" s="293"/>
      <c r="AK78" s="293"/>
      <c r="AL78" s="293"/>
      <c r="AM78" s="293"/>
      <c r="AN78" s="293"/>
      <c r="AO78" s="293"/>
      <c r="AP78" s="293"/>
      <c r="AQ78" s="293"/>
      <c r="AR78" s="293"/>
    </row>
    <row r="79">
      <c r="A79" s="293"/>
      <c r="B79" s="304"/>
      <c r="C79" s="370" t="s">
        <v>228</v>
      </c>
      <c r="E79" s="366"/>
      <c r="F79" s="349"/>
      <c r="G79" s="294"/>
      <c r="H79" s="294"/>
      <c r="I79" s="294"/>
      <c r="J79" s="294"/>
      <c r="K79" s="294"/>
      <c r="L79" s="294"/>
      <c r="M79" s="294"/>
      <c r="N79" s="294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  <c r="AE79" s="293"/>
      <c r="AF79" s="293"/>
      <c r="AG79" s="293"/>
      <c r="AH79" s="293"/>
      <c r="AI79" s="293"/>
      <c r="AJ79" s="293"/>
      <c r="AK79" s="293"/>
      <c r="AL79" s="293"/>
      <c r="AM79" s="293"/>
      <c r="AN79" s="293"/>
      <c r="AO79" s="293"/>
      <c r="AP79" s="293"/>
      <c r="AQ79" s="293"/>
      <c r="AR79" s="293"/>
    </row>
    <row r="80">
      <c r="A80" s="293"/>
      <c r="B80" s="304"/>
      <c r="C80" s="370" t="s">
        <v>229</v>
      </c>
      <c r="E80" s="366"/>
      <c r="F80" s="349"/>
      <c r="G80" s="294"/>
      <c r="H80" s="294"/>
      <c r="I80" s="294"/>
      <c r="J80" s="294"/>
      <c r="K80" s="294"/>
      <c r="L80" s="294"/>
      <c r="M80" s="294"/>
      <c r="N80" s="294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I80" s="293"/>
      <c r="AJ80" s="293"/>
      <c r="AK80" s="293"/>
      <c r="AL80" s="293"/>
      <c r="AM80" s="293"/>
      <c r="AN80" s="293"/>
      <c r="AO80" s="293"/>
      <c r="AP80" s="293"/>
      <c r="AQ80" s="293"/>
      <c r="AR80" s="293"/>
    </row>
    <row r="81">
      <c r="A81" s="293"/>
      <c r="B81" s="304"/>
      <c r="C81" s="370" t="s">
        <v>230</v>
      </c>
      <c r="E81" s="366"/>
      <c r="F81" s="349"/>
      <c r="G81" s="294"/>
      <c r="H81" s="294"/>
      <c r="I81" s="294"/>
      <c r="J81" s="294"/>
      <c r="K81" s="294"/>
      <c r="L81" s="294"/>
      <c r="M81" s="294"/>
      <c r="N81" s="294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  <c r="AE81" s="293"/>
      <c r="AF81" s="293"/>
      <c r="AG81" s="293"/>
      <c r="AH81" s="293"/>
      <c r="AI81" s="293"/>
      <c r="AJ81" s="293"/>
      <c r="AK81" s="293"/>
      <c r="AL81" s="293"/>
      <c r="AM81" s="293"/>
      <c r="AN81" s="293"/>
      <c r="AO81" s="293"/>
      <c r="AP81" s="293"/>
      <c r="AQ81" s="293"/>
      <c r="AR81" s="293"/>
    </row>
    <row r="82">
      <c r="A82" s="293"/>
      <c r="B82" s="304"/>
      <c r="C82" s="370" t="s">
        <v>231</v>
      </c>
      <c r="E82" s="366"/>
      <c r="F82" s="349"/>
      <c r="G82" s="294"/>
      <c r="H82" s="294"/>
      <c r="I82" s="294"/>
      <c r="J82" s="294"/>
      <c r="K82" s="294"/>
      <c r="L82" s="294"/>
      <c r="M82" s="294"/>
      <c r="N82" s="294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  <c r="AE82" s="293"/>
      <c r="AF82" s="293"/>
      <c r="AG82" s="293"/>
      <c r="AH82" s="293"/>
      <c r="AI82" s="293"/>
      <c r="AJ82" s="293"/>
      <c r="AK82" s="293"/>
      <c r="AL82" s="293"/>
      <c r="AM82" s="293"/>
      <c r="AN82" s="293"/>
      <c r="AO82" s="293"/>
      <c r="AP82" s="293"/>
      <c r="AQ82" s="293"/>
      <c r="AR82" s="293"/>
    </row>
    <row r="83">
      <c r="A83" s="293"/>
      <c r="B83" s="304"/>
      <c r="C83" s="370" t="s">
        <v>232</v>
      </c>
      <c r="E83" s="366"/>
      <c r="F83" s="349"/>
      <c r="G83" s="294"/>
      <c r="H83" s="294"/>
      <c r="I83" s="294"/>
      <c r="J83" s="294"/>
      <c r="K83" s="294"/>
      <c r="L83" s="294"/>
      <c r="M83" s="294"/>
      <c r="N83" s="294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293"/>
      <c r="AJ83" s="293"/>
      <c r="AK83" s="293"/>
      <c r="AL83" s="293"/>
      <c r="AM83" s="293"/>
      <c r="AN83" s="293"/>
      <c r="AO83" s="293"/>
      <c r="AP83" s="293"/>
      <c r="AQ83" s="293"/>
      <c r="AR83" s="293"/>
    </row>
    <row r="84">
      <c r="A84" s="293"/>
      <c r="B84" s="304"/>
      <c r="C84" s="371" t="s">
        <v>233</v>
      </c>
      <c r="D84" s="352"/>
      <c r="E84" s="372"/>
      <c r="F84" s="353"/>
      <c r="G84" s="294"/>
      <c r="H84" s="294"/>
      <c r="I84" s="294"/>
      <c r="J84" s="294"/>
      <c r="K84" s="294"/>
      <c r="L84" s="294"/>
      <c r="M84" s="294"/>
      <c r="N84" s="294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  <c r="AH84" s="293"/>
      <c r="AI84" s="293"/>
      <c r="AJ84" s="293"/>
      <c r="AK84" s="293"/>
      <c r="AL84" s="293"/>
      <c r="AM84" s="293"/>
      <c r="AN84" s="293"/>
      <c r="AO84" s="293"/>
      <c r="AP84" s="293"/>
      <c r="AQ84" s="293"/>
      <c r="AR84" s="293"/>
    </row>
    <row r="85">
      <c r="A85" s="293"/>
      <c r="B85" s="293"/>
      <c r="C85" s="342"/>
      <c r="D85" s="342"/>
      <c r="E85" s="342"/>
      <c r="F85" s="342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G85" s="293"/>
      <c r="AH85" s="293"/>
      <c r="AI85" s="293"/>
      <c r="AJ85" s="293"/>
      <c r="AK85" s="293"/>
      <c r="AL85" s="293"/>
      <c r="AM85" s="293"/>
      <c r="AN85" s="293"/>
      <c r="AO85" s="293"/>
      <c r="AP85" s="293"/>
      <c r="AQ85" s="293"/>
      <c r="AR85" s="293"/>
    </row>
    <row r="86">
      <c r="A86" s="293"/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  <c r="AE86" s="293"/>
      <c r="AF86" s="293"/>
      <c r="AG86" s="293"/>
      <c r="AH86" s="293"/>
      <c r="AI86" s="293"/>
      <c r="AJ86" s="293"/>
      <c r="AK86" s="293"/>
      <c r="AL86" s="293"/>
      <c r="AM86" s="293"/>
      <c r="AN86" s="293"/>
      <c r="AO86" s="293"/>
      <c r="AP86" s="293"/>
      <c r="AQ86" s="293"/>
      <c r="AR86" s="293"/>
    </row>
    <row r="87">
      <c r="A87" s="293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  <c r="AE87" s="293"/>
      <c r="AF87" s="293"/>
      <c r="AG87" s="293"/>
      <c r="AH87" s="293"/>
      <c r="AI87" s="293"/>
      <c r="AJ87" s="293"/>
      <c r="AK87" s="293"/>
      <c r="AL87" s="293"/>
      <c r="AM87" s="293"/>
      <c r="AN87" s="293"/>
      <c r="AO87" s="293"/>
      <c r="AP87" s="293"/>
      <c r="AQ87" s="293"/>
      <c r="AR87" s="293"/>
    </row>
    <row r="88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  <c r="AE88" s="293"/>
      <c r="AF88" s="293"/>
      <c r="AG88" s="293"/>
      <c r="AH88" s="293"/>
      <c r="AI88" s="293"/>
      <c r="AJ88" s="293"/>
      <c r="AK88" s="293"/>
      <c r="AL88" s="293"/>
      <c r="AM88" s="293"/>
      <c r="AN88" s="293"/>
      <c r="AO88" s="293"/>
      <c r="AP88" s="293"/>
      <c r="AQ88" s="293"/>
      <c r="AR88" s="293"/>
    </row>
    <row r="89">
      <c r="A89" s="293"/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G89" s="293"/>
      <c r="AH89" s="293"/>
      <c r="AI89" s="293"/>
      <c r="AJ89" s="293"/>
      <c r="AK89" s="293"/>
      <c r="AL89" s="293"/>
      <c r="AM89" s="293"/>
      <c r="AN89" s="293"/>
      <c r="AO89" s="293"/>
      <c r="AP89" s="293"/>
      <c r="AQ89" s="293"/>
      <c r="AR89" s="293"/>
    </row>
    <row r="90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  <c r="AE90" s="293"/>
      <c r="AF90" s="293"/>
      <c r="AG90" s="293"/>
      <c r="AH90" s="293"/>
      <c r="AI90" s="293"/>
      <c r="AJ90" s="293"/>
      <c r="AK90" s="293"/>
      <c r="AL90" s="293"/>
      <c r="AM90" s="293"/>
      <c r="AN90" s="293"/>
      <c r="AO90" s="293"/>
      <c r="AP90" s="293"/>
      <c r="AQ90" s="293"/>
      <c r="AR90" s="293"/>
    </row>
    <row r="91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  <c r="AE91" s="293"/>
      <c r="AF91" s="293"/>
      <c r="AG91" s="293"/>
      <c r="AH91" s="293"/>
      <c r="AI91" s="293"/>
      <c r="AJ91" s="293"/>
      <c r="AK91" s="293"/>
      <c r="AL91" s="293"/>
      <c r="AM91" s="293"/>
      <c r="AN91" s="293"/>
      <c r="AO91" s="293"/>
      <c r="AP91" s="293"/>
      <c r="AQ91" s="293"/>
      <c r="AR91" s="293"/>
    </row>
    <row r="92">
      <c r="A92" s="293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  <c r="AE92" s="293"/>
      <c r="AF92" s="293"/>
      <c r="AG92" s="293"/>
      <c r="AH92" s="293"/>
      <c r="AI92" s="293"/>
      <c r="AJ92" s="293"/>
      <c r="AK92" s="293"/>
      <c r="AL92" s="293"/>
      <c r="AM92" s="293"/>
      <c r="AN92" s="293"/>
      <c r="AO92" s="293"/>
      <c r="AP92" s="293"/>
      <c r="AQ92" s="293"/>
      <c r="AR92" s="293"/>
    </row>
    <row r="93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  <c r="AE93" s="293"/>
      <c r="AF93" s="293"/>
      <c r="AG93" s="293"/>
      <c r="AH93" s="293"/>
      <c r="AI93" s="293"/>
      <c r="AJ93" s="293"/>
      <c r="AK93" s="293"/>
      <c r="AL93" s="293"/>
      <c r="AM93" s="293"/>
      <c r="AN93" s="293"/>
      <c r="AO93" s="293"/>
      <c r="AP93" s="293"/>
      <c r="AQ93" s="293"/>
      <c r="AR93" s="293"/>
    </row>
    <row r="94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  <c r="AE94" s="293"/>
      <c r="AF94" s="293"/>
      <c r="AG94" s="293"/>
      <c r="AH94" s="293"/>
      <c r="AI94" s="293"/>
      <c r="AJ94" s="293"/>
      <c r="AK94" s="293"/>
      <c r="AL94" s="293"/>
      <c r="AM94" s="293"/>
      <c r="AN94" s="293"/>
      <c r="AO94" s="293"/>
      <c r="AP94" s="293"/>
      <c r="AQ94" s="293"/>
      <c r="AR94" s="293"/>
    </row>
    <row r="95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  <c r="AE95" s="293"/>
      <c r="AF95" s="293"/>
      <c r="AG95" s="293"/>
      <c r="AH95" s="293"/>
      <c r="AI95" s="293"/>
      <c r="AJ95" s="293"/>
      <c r="AK95" s="293"/>
      <c r="AL95" s="293"/>
      <c r="AM95" s="293"/>
      <c r="AN95" s="293"/>
      <c r="AO95" s="293"/>
      <c r="AP95" s="293"/>
      <c r="AQ95" s="293"/>
      <c r="AR95" s="293"/>
    </row>
    <row r="96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  <c r="AO96" s="294"/>
      <c r="AP96" s="294"/>
      <c r="AQ96" s="294"/>
      <c r="AR96" s="294"/>
    </row>
    <row r="97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4"/>
      <c r="AL97" s="294"/>
      <c r="AM97" s="294"/>
      <c r="AN97" s="294"/>
      <c r="AO97" s="294"/>
      <c r="AP97" s="294"/>
      <c r="AQ97" s="294"/>
      <c r="AR97" s="294"/>
    </row>
    <row r="98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  <c r="AD98" s="294"/>
      <c r="AE98" s="294"/>
      <c r="AF98" s="294"/>
      <c r="AG98" s="294"/>
      <c r="AH98" s="294"/>
      <c r="AI98" s="294"/>
      <c r="AJ98" s="294"/>
      <c r="AK98" s="294"/>
      <c r="AL98" s="294"/>
      <c r="AM98" s="294"/>
      <c r="AN98" s="294"/>
      <c r="AO98" s="294"/>
      <c r="AP98" s="294"/>
      <c r="AQ98" s="294"/>
      <c r="AR98" s="294"/>
    </row>
    <row r="99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  <c r="AC99" s="294"/>
      <c r="AD99" s="294"/>
      <c r="AE99" s="294"/>
      <c r="AF99" s="294"/>
      <c r="AG99" s="294"/>
      <c r="AH99" s="294"/>
      <c r="AI99" s="294"/>
      <c r="AJ99" s="294"/>
      <c r="AK99" s="294"/>
      <c r="AL99" s="294"/>
      <c r="AM99" s="294"/>
      <c r="AN99" s="294"/>
      <c r="AO99" s="294"/>
      <c r="AP99" s="294"/>
      <c r="AQ99" s="294"/>
      <c r="AR99" s="294"/>
    </row>
    <row r="100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  <c r="AD100" s="294"/>
      <c r="AE100" s="294"/>
      <c r="AF100" s="294"/>
      <c r="AG100" s="294"/>
      <c r="AH100" s="294"/>
      <c r="AI100" s="294"/>
      <c r="AJ100" s="294"/>
      <c r="AK100" s="294"/>
      <c r="AL100" s="294"/>
      <c r="AM100" s="294"/>
      <c r="AN100" s="294"/>
      <c r="AO100" s="294"/>
      <c r="AP100" s="294"/>
      <c r="AQ100" s="294"/>
      <c r="AR100" s="294"/>
    </row>
    <row r="101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4"/>
    </row>
    <row r="102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  <c r="AD102" s="294"/>
      <c r="AE102" s="294"/>
      <c r="AF102" s="294"/>
      <c r="AG102" s="294"/>
      <c r="AH102" s="294"/>
      <c r="AI102" s="294"/>
      <c r="AJ102" s="294"/>
      <c r="AK102" s="294"/>
      <c r="AL102" s="294"/>
      <c r="AM102" s="294"/>
      <c r="AN102" s="294"/>
      <c r="AO102" s="294"/>
      <c r="AP102" s="294"/>
      <c r="AQ102" s="294"/>
      <c r="AR102" s="294"/>
    </row>
    <row r="103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  <c r="AD103" s="294"/>
      <c r="AE103" s="294"/>
      <c r="AF103" s="294"/>
      <c r="AG103" s="294"/>
      <c r="AH103" s="294"/>
      <c r="AI103" s="294"/>
      <c r="AJ103" s="294"/>
      <c r="AK103" s="294"/>
      <c r="AL103" s="294"/>
      <c r="AM103" s="294"/>
      <c r="AN103" s="294"/>
      <c r="AO103" s="294"/>
      <c r="AP103" s="294"/>
      <c r="AQ103" s="294"/>
      <c r="AR103" s="294"/>
    </row>
    <row r="104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294"/>
      <c r="AN104" s="294"/>
      <c r="AO104" s="294"/>
      <c r="AP104" s="294"/>
      <c r="AQ104" s="294"/>
      <c r="AR104" s="294"/>
    </row>
    <row r="105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4"/>
      <c r="AF105" s="294"/>
      <c r="AG105" s="294"/>
      <c r="AH105" s="294"/>
      <c r="AI105" s="294"/>
      <c r="AJ105" s="294"/>
      <c r="AK105" s="294"/>
      <c r="AL105" s="294"/>
      <c r="AM105" s="294"/>
      <c r="AN105" s="294"/>
      <c r="AO105" s="294"/>
      <c r="AP105" s="294"/>
      <c r="AQ105" s="294"/>
      <c r="AR105" s="294"/>
    </row>
    <row r="106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  <c r="AC106" s="294"/>
      <c r="AD106" s="294"/>
      <c r="AE106" s="294"/>
      <c r="AF106" s="294"/>
      <c r="AG106" s="294"/>
      <c r="AH106" s="294"/>
      <c r="AI106" s="294"/>
      <c r="AJ106" s="294"/>
      <c r="AK106" s="294"/>
      <c r="AL106" s="294"/>
      <c r="AM106" s="294"/>
      <c r="AN106" s="294"/>
      <c r="AO106" s="294"/>
      <c r="AP106" s="294"/>
      <c r="AQ106" s="294"/>
      <c r="AR106" s="294"/>
    </row>
    <row r="107">
      <c r="A107" s="294"/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  <c r="AC107" s="294"/>
      <c r="AD107" s="294"/>
      <c r="AE107" s="294"/>
      <c r="AF107" s="294"/>
      <c r="AG107" s="294"/>
      <c r="AH107" s="294"/>
      <c r="AI107" s="294"/>
      <c r="AJ107" s="294"/>
      <c r="AK107" s="294"/>
      <c r="AL107" s="294"/>
      <c r="AM107" s="294"/>
      <c r="AN107" s="294"/>
      <c r="AO107" s="294"/>
      <c r="AP107" s="294"/>
      <c r="AQ107" s="294"/>
      <c r="AR107" s="294"/>
    </row>
    <row r="108">
      <c r="A108" s="294"/>
      <c r="B108" s="294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  <c r="AC108" s="294"/>
      <c r="AD108" s="294"/>
      <c r="AE108" s="294"/>
      <c r="AF108" s="294"/>
      <c r="AG108" s="294"/>
      <c r="AH108" s="294"/>
      <c r="AI108" s="294"/>
      <c r="AJ108" s="294"/>
      <c r="AK108" s="294"/>
      <c r="AL108" s="294"/>
      <c r="AM108" s="294"/>
      <c r="AN108" s="294"/>
      <c r="AO108" s="294"/>
      <c r="AP108" s="294"/>
      <c r="AQ108" s="294"/>
      <c r="AR108" s="294"/>
    </row>
    <row r="109">
      <c r="A109" s="294"/>
      <c r="B109" s="294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294"/>
      <c r="AD109" s="294"/>
      <c r="AE109" s="294"/>
      <c r="AF109" s="294"/>
      <c r="AG109" s="294"/>
      <c r="AH109" s="294"/>
      <c r="AI109" s="294"/>
      <c r="AJ109" s="294"/>
      <c r="AK109" s="294"/>
      <c r="AL109" s="294"/>
      <c r="AM109" s="294"/>
      <c r="AN109" s="294"/>
      <c r="AO109" s="294"/>
      <c r="AP109" s="294"/>
      <c r="AQ109" s="294"/>
      <c r="AR109" s="294"/>
    </row>
    <row r="110">
      <c r="A110" s="294"/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4"/>
      <c r="AL110" s="294"/>
      <c r="AM110" s="294"/>
      <c r="AN110" s="294"/>
      <c r="AO110" s="294"/>
      <c r="AP110" s="294"/>
      <c r="AQ110" s="294"/>
      <c r="AR110" s="294"/>
    </row>
    <row r="111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4"/>
      <c r="AM111" s="294"/>
      <c r="AN111" s="294"/>
      <c r="AO111" s="294"/>
      <c r="AP111" s="294"/>
      <c r="AQ111" s="294"/>
      <c r="AR111" s="294"/>
    </row>
    <row r="11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  <c r="AD112" s="294"/>
      <c r="AE112" s="294"/>
      <c r="AF112" s="294"/>
      <c r="AG112" s="294"/>
      <c r="AH112" s="294"/>
      <c r="AI112" s="294"/>
      <c r="AJ112" s="294"/>
      <c r="AK112" s="294"/>
      <c r="AL112" s="294"/>
      <c r="AM112" s="294"/>
      <c r="AN112" s="294"/>
      <c r="AO112" s="294"/>
      <c r="AP112" s="294"/>
      <c r="AQ112" s="294"/>
      <c r="AR112" s="294"/>
    </row>
    <row r="113">
      <c r="A113" s="294"/>
      <c r="B113" s="294"/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  <c r="AC113" s="294"/>
      <c r="AD113" s="294"/>
      <c r="AE113" s="294"/>
      <c r="AF113" s="294"/>
      <c r="AG113" s="294"/>
      <c r="AH113" s="294"/>
      <c r="AI113" s="294"/>
      <c r="AJ113" s="294"/>
      <c r="AK113" s="294"/>
      <c r="AL113" s="294"/>
      <c r="AM113" s="294"/>
      <c r="AN113" s="294"/>
      <c r="AO113" s="294"/>
      <c r="AP113" s="294"/>
      <c r="AQ113" s="294"/>
      <c r="AR113" s="294"/>
    </row>
    <row r="114">
      <c r="A114" s="294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  <c r="AD114" s="294"/>
      <c r="AE114" s="294"/>
      <c r="AF114" s="294"/>
      <c r="AG114" s="294"/>
      <c r="AH114" s="294"/>
      <c r="AI114" s="294"/>
      <c r="AJ114" s="294"/>
      <c r="AK114" s="294"/>
      <c r="AL114" s="294"/>
      <c r="AM114" s="294"/>
      <c r="AN114" s="294"/>
      <c r="AO114" s="294"/>
      <c r="AP114" s="294"/>
      <c r="AQ114" s="294"/>
      <c r="AR114" s="294"/>
    </row>
    <row r="115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  <c r="AD115" s="294"/>
      <c r="AE115" s="294"/>
      <c r="AF115" s="294"/>
      <c r="AG115" s="294"/>
      <c r="AH115" s="294"/>
      <c r="AI115" s="294"/>
      <c r="AJ115" s="294"/>
      <c r="AK115" s="294"/>
      <c r="AL115" s="294"/>
      <c r="AM115" s="294"/>
      <c r="AN115" s="294"/>
      <c r="AO115" s="294"/>
      <c r="AP115" s="294"/>
      <c r="AQ115" s="294"/>
      <c r="AR115" s="294"/>
    </row>
    <row r="116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  <c r="AC116" s="294"/>
      <c r="AD116" s="294"/>
      <c r="AE116" s="294"/>
      <c r="AF116" s="294"/>
      <c r="AG116" s="294"/>
      <c r="AH116" s="294"/>
      <c r="AI116" s="294"/>
      <c r="AJ116" s="294"/>
      <c r="AK116" s="294"/>
      <c r="AL116" s="294"/>
      <c r="AM116" s="294"/>
      <c r="AN116" s="294"/>
      <c r="AO116" s="294"/>
      <c r="AP116" s="294"/>
      <c r="AQ116" s="294"/>
      <c r="AR116" s="294"/>
    </row>
    <row r="117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  <c r="AC117" s="294"/>
      <c r="AD117" s="294"/>
      <c r="AE117" s="294"/>
      <c r="AF117" s="294"/>
      <c r="AG117" s="294"/>
      <c r="AH117" s="294"/>
      <c r="AI117" s="294"/>
      <c r="AJ117" s="294"/>
      <c r="AK117" s="294"/>
      <c r="AL117" s="294"/>
      <c r="AM117" s="294"/>
      <c r="AN117" s="294"/>
      <c r="AO117" s="294"/>
      <c r="AP117" s="294"/>
      <c r="AQ117" s="294"/>
      <c r="AR117" s="294"/>
    </row>
    <row r="118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  <c r="AD118" s="294"/>
      <c r="AE118" s="294"/>
      <c r="AF118" s="294"/>
      <c r="AG118" s="294"/>
      <c r="AH118" s="294"/>
      <c r="AI118" s="294"/>
      <c r="AJ118" s="294"/>
      <c r="AK118" s="294"/>
      <c r="AL118" s="294"/>
      <c r="AM118" s="294"/>
      <c r="AN118" s="294"/>
      <c r="AO118" s="294"/>
      <c r="AP118" s="294"/>
      <c r="AQ118" s="294"/>
      <c r="AR118" s="294"/>
    </row>
    <row r="119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4"/>
      <c r="AF119" s="294"/>
      <c r="AG119" s="294"/>
      <c r="AH119" s="294"/>
      <c r="AI119" s="294"/>
      <c r="AJ119" s="294"/>
      <c r="AK119" s="294"/>
      <c r="AL119" s="294"/>
      <c r="AM119" s="294"/>
      <c r="AN119" s="294"/>
      <c r="AO119" s="294"/>
      <c r="AP119" s="294"/>
      <c r="AQ119" s="294"/>
      <c r="AR119" s="294"/>
    </row>
    <row r="120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4"/>
      <c r="AK120" s="294"/>
      <c r="AL120" s="294"/>
      <c r="AM120" s="294"/>
      <c r="AN120" s="294"/>
      <c r="AO120" s="294"/>
      <c r="AP120" s="294"/>
      <c r="AQ120" s="294"/>
      <c r="AR120" s="294"/>
    </row>
    <row r="121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4"/>
      <c r="AF121" s="294"/>
      <c r="AG121" s="294"/>
      <c r="AH121" s="294"/>
      <c r="AI121" s="294"/>
      <c r="AJ121" s="294"/>
      <c r="AK121" s="294"/>
      <c r="AL121" s="294"/>
      <c r="AM121" s="294"/>
      <c r="AN121" s="294"/>
      <c r="AO121" s="294"/>
      <c r="AP121" s="294"/>
      <c r="AQ121" s="294"/>
      <c r="AR121" s="294"/>
    </row>
    <row r="12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4"/>
      <c r="AK122" s="294"/>
      <c r="AL122" s="294"/>
      <c r="AM122" s="294"/>
      <c r="AN122" s="294"/>
      <c r="AO122" s="294"/>
      <c r="AP122" s="294"/>
      <c r="AQ122" s="294"/>
      <c r="AR122" s="294"/>
    </row>
    <row r="123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4"/>
      <c r="AK123" s="294"/>
      <c r="AL123" s="294"/>
      <c r="AM123" s="294"/>
      <c r="AN123" s="294"/>
      <c r="AO123" s="294"/>
      <c r="AP123" s="294"/>
      <c r="AQ123" s="294"/>
      <c r="AR123" s="294"/>
    </row>
    <row r="124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4"/>
      <c r="AL124" s="294"/>
      <c r="AM124" s="294"/>
      <c r="AN124" s="294"/>
      <c r="AO124" s="294"/>
      <c r="AP124" s="294"/>
      <c r="AQ124" s="294"/>
      <c r="AR124" s="294"/>
    </row>
    <row r="125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4"/>
      <c r="AL125" s="294"/>
      <c r="AM125" s="294"/>
      <c r="AN125" s="294"/>
      <c r="AO125" s="294"/>
      <c r="AP125" s="294"/>
      <c r="AQ125" s="294"/>
      <c r="AR125" s="294"/>
    </row>
    <row r="126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4"/>
      <c r="AL126" s="294"/>
      <c r="AM126" s="294"/>
      <c r="AN126" s="294"/>
      <c r="AO126" s="294"/>
      <c r="AP126" s="294"/>
      <c r="AQ126" s="294"/>
      <c r="AR126" s="294"/>
    </row>
    <row r="127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4"/>
      <c r="AL127" s="294"/>
      <c r="AM127" s="294"/>
      <c r="AN127" s="294"/>
      <c r="AO127" s="294"/>
      <c r="AP127" s="294"/>
      <c r="AQ127" s="294"/>
      <c r="AR127" s="294"/>
    </row>
    <row r="128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  <c r="AC128" s="294"/>
      <c r="AD128" s="294"/>
      <c r="AE128" s="294"/>
      <c r="AF128" s="294"/>
      <c r="AG128" s="294"/>
      <c r="AH128" s="294"/>
      <c r="AI128" s="294"/>
      <c r="AJ128" s="294"/>
      <c r="AK128" s="294"/>
      <c r="AL128" s="294"/>
      <c r="AM128" s="294"/>
      <c r="AN128" s="294"/>
      <c r="AO128" s="294"/>
      <c r="AP128" s="294"/>
      <c r="AQ128" s="294"/>
      <c r="AR128" s="294"/>
    </row>
    <row r="129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  <c r="AC129" s="294"/>
      <c r="AD129" s="294"/>
      <c r="AE129" s="294"/>
      <c r="AF129" s="294"/>
      <c r="AG129" s="294"/>
      <c r="AH129" s="294"/>
      <c r="AI129" s="294"/>
      <c r="AJ129" s="294"/>
      <c r="AK129" s="294"/>
      <c r="AL129" s="294"/>
      <c r="AM129" s="294"/>
      <c r="AN129" s="294"/>
      <c r="AO129" s="294"/>
      <c r="AP129" s="294"/>
      <c r="AQ129" s="294"/>
      <c r="AR129" s="294"/>
    </row>
    <row r="130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  <c r="AC130" s="294"/>
      <c r="AD130" s="294"/>
      <c r="AE130" s="294"/>
      <c r="AF130" s="294"/>
      <c r="AG130" s="294"/>
      <c r="AH130" s="294"/>
      <c r="AI130" s="294"/>
      <c r="AJ130" s="294"/>
      <c r="AK130" s="294"/>
      <c r="AL130" s="294"/>
      <c r="AM130" s="294"/>
      <c r="AN130" s="294"/>
      <c r="AO130" s="294"/>
      <c r="AP130" s="294"/>
      <c r="AQ130" s="294"/>
      <c r="AR130" s="294"/>
    </row>
    <row r="131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  <c r="AD131" s="294"/>
      <c r="AE131" s="294"/>
      <c r="AF131" s="294"/>
      <c r="AG131" s="294"/>
      <c r="AH131" s="294"/>
      <c r="AI131" s="294"/>
      <c r="AJ131" s="294"/>
      <c r="AK131" s="294"/>
      <c r="AL131" s="294"/>
      <c r="AM131" s="294"/>
      <c r="AN131" s="294"/>
      <c r="AO131" s="294"/>
      <c r="AP131" s="294"/>
      <c r="AQ131" s="294"/>
      <c r="AR131" s="294"/>
    </row>
    <row r="132">
      <c r="A132" s="294"/>
      <c r="B132" s="294"/>
      <c r="C132" s="294"/>
      <c r="D132" s="294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  <c r="AC132" s="294"/>
      <c r="AD132" s="294"/>
      <c r="AE132" s="294"/>
      <c r="AF132" s="294"/>
      <c r="AG132" s="294"/>
      <c r="AH132" s="294"/>
      <c r="AI132" s="294"/>
      <c r="AJ132" s="294"/>
      <c r="AK132" s="294"/>
      <c r="AL132" s="294"/>
      <c r="AM132" s="294"/>
      <c r="AN132" s="294"/>
      <c r="AO132" s="294"/>
      <c r="AP132" s="294"/>
      <c r="AQ132" s="294"/>
      <c r="AR132" s="294"/>
    </row>
    <row r="133">
      <c r="A133" s="294"/>
      <c r="B133" s="294"/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  <c r="AC133" s="294"/>
      <c r="AD133" s="294"/>
      <c r="AE133" s="294"/>
      <c r="AF133" s="294"/>
      <c r="AG133" s="294"/>
      <c r="AH133" s="294"/>
      <c r="AI133" s="294"/>
      <c r="AJ133" s="294"/>
      <c r="AK133" s="294"/>
      <c r="AL133" s="294"/>
      <c r="AM133" s="294"/>
      <c r="AN133" s="294"/>
      <c r="AO133" s="294"/>
      <c r="AP133" s="294"/>
      <c r="AQ133" s="294"/>
      <c r="AR133" s="294"/>
    </row>
    <row r="134">
      <c r="A134" s="294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  <c r="AC134" s="294"/>
      <c r="AD134" s="294"/>
      <c r="AE134" s="294"/>
      <c r="AF134" s="294"/>
      <c r="AG134" s="294"/>
      <c r="AH134" s="294"/>
      <c r="AI134" s="294"/>
      <c r="AJ134" s="294"/>
      <c r="AK134" s="294"/>
      <c r="AL134" s="294"/>
      <c r="AM134" s="294"/>
      <c r="AN134" s="294"/>
      <c r="AO134" s="294"/>
      <c r="AP134" s="294"/>
      <c r="AQ134" s="294"/>
      <c r="AR134" s="294"/>
    </row>
    <row r="135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  <c r="AC135" s="294"/>
      <c r="AD135" s="294"/>
      <c r="AE135" s="294"/>
      <c r="AF135" s="294"/>
      <c r="AG135" s="294"/>
      <c r="AH135" s="294"/>
      <c r="AI135" s="294"/>
      <c r="AJ135" s="294"/>
      <c r="AK135" s="294"/>
      <c r="AL135" s="294"/>
      <c r="AM135" s="294"/>
      <c r="AN135" s="294"/>
      <c r="AO135" s="294"/>
      <c r="AP135" s="294"/>
      <c r="AQ135" s="294"/>
      <c r="AR135" s="294"/>
    </row>
    <row r="136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  <c r="AC136" s="294"/>
      <c r="AD136" s="294"/>
      <c r="AE136" s="294"/>
      <c r="AF136" s="294"/>
      <c r="AG136" s="294"/>
      <c r="AH136" s="294"/>
      <c r="AI136" s="294"/>
      <c r="AJ136" s="294"/>
      <c r="AK136" s="294"/>
      <c r="AL136" s="294"/>
      <c r="AM136" s="294"/>
      <c r="AN136" s="294"/>
      <c r="AO136" s="294"/>
      <c r="AP136" s="294"/>
      <c r="AQ136" s="294"/>
      <c r="AR136" s="294"/>
    </row>
    <row r="137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  <c r="AC137" s="294"/>
      <c r="AD137" s="294"/>
      <c r="AE137" s="294"/>
      <c r="AF137" s="294"/>
      <c r="AG137" s="294"/>
      <c r="AH137" s="294"/>
      <c r="AI137" s="294"/>
      <c r="AJ137" s="294"/>
      <c r="AK137" s="294"/>
      <c r="AL137" s="294"/>
      <c r="AM137" s="294"/>
      <c r="AN137" s="294"/>
      <c r="AO137" s="294"/>
      <c r="AP137" s="294"/>
      <c r="AQ137" s="294"/>
      <c r="AR137" s="294"/>
    </row>
    <row r="138">
      <c r="A138" s="294"/>
      <c r="B138" s="294"/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/>
      <c r="AK138" s="294"/>
      <c r="AL138" s="294"/>
      <c r="AM138" s="294"/>
      <c r="AN138" s="294"/>
      <c r="AO138" s="294"/>
      <c r="AP138" s="294"/>
      <c r="AQ138" s="294"/>
      <c r="AR138" s="294"/>
    </row>
    <row r="139">
      <c r="A139" s="294"/>
      <c r="B139" s="294"/>
      <c r="C139" s="294"/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  <c r="AC139" s="294"/>
      <c r="AD139" s="294"/>
      <c r="AE139" s="294"/>
      <c r="AF139" s="294"/>
      <c r="AG139" s="294"/>
      <c r="AH139" s="294"/>
      <c r="AI139" s="294"/>
      <c r="AJ139" s="294"/>
      <c r="AK139" s="294"/>
      <c r="AL139" s="294"/>
      <c r="AM139" s="294"/>
      <c r="AN139" s="294"/>
      <c r="AO139" s="294"/>
      <c r="AP139" s="294"/>
      <c r="AQ139" s="294"/>
      <c r="AR139" s="294"/>
    </row>
    <row r="140">
      <c r="A140" s="294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  <c r="AC140" s="294"/>
      <c r="AD140" s="294"/>
      <c r="AE140" s="294"/>
      <c r="AF140" s="294"/>
      <c r="AG140" s="294"/>
      <c r="AH140" s="294"/>
      <c r="AI140" s="294"/>
      <c r="AJ140" s="294"/>
      <c r="AK140" s="294"/>
      <c r="AL140" s="294"/>
      <c r="AM140" s="294"/>
      <c r="AN140" s="294"/>
      <c r="AO140" s="294"/>
      <c r="AP140" s="294"/>
      <c r="AQ140" s="294"/>
      <c r="AR140" s="294"/>
    </row>
    <row r="141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294"/>
      <c r="AM141" s="294"/>
      <c r="AN141" s="294"/>
      <c r="AO141" s="294"/>
      <c r="AP141" s="294"/>
      <c r="AQ141" s="294"/>
      <c r="AR141" s="294"/>
    </row>
    <row r="14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  <c r="AD142" s="294"/>
      <c r="AE142" s="294"/>
      <c r="AF142" s="294"/>
      <c r="AG142" s="294"/>
      <c r="AH142" s="294"/>
      <c r="AI142" s="294"/>
      <c r="AJ142" s="294"/>
      <c r="AK142" s="294"/>
      <c r="AL142" s="294"/>
      <c r="AM142" s="294"/>
      <c r="AN142" s="294"/>
      <c r="AO142" s="294"/>
      <c r="AP142" s="294"/>
      <c r="AQ142" s="294"/>
      <c r="AR142" s="294"/>
    </row>
    <row r="143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</row>
    <row r="144">
      <c r="A144" s="294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  <c r="AD144" s="294"/>
      <c r="AE144" s="294"/>
      <c r="AF144" s="294"/>
      <c r="AG144" s="294"/>
      <c r="AH144" s="294"/>
      <c r="AI144" s="294"/>
      <c r="AJ144" s="294"/>
      <c r="AK144" s="294"/>
      <c r="AL144" s="294"/>
      <c r="AM144" s="294"/>
      <c r="AN144" s="294"/>
      <c r="AO144" s="294"/>
      <c r="AP144" s="294"/>
      <c r="AQ144" s="294"/>
      <c r="AR144" s="294"/>
    </row>
    <row r="145">
      <c r="A145" s="294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  <c r="AD145" s="294"/>
      <c r="AE145" s="294"/>
      <c r="AF145" s="294"/>
      <c r="AG145" s="294"/>
      <c r="AH145" s="294"/>
      <c r="AI145" s="294"/>
      <c r="AJ145" s="294"/>
      <c r="AK145" s="294"/>
      <c r="AL145" s="294"/>
      <c r="AM145" s="294"/>
      <c r="AN145" s="294"/>
      <c r="AO145" s="294"/>
      <c r="AP145" s="294"/>
      <c r="AQ145" s="294"/>
      <c r="AR145" s="294"/>
    </row>
    <row r="146">
      <c r="A146" s="294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  <c r="AD146" s="294"/>
      <c r="AE146" s="294"/>
      <c r="AF146" s="294"/>
      <c r="AG146" s="294"/>
      <c r="AH146" s="294"/>
      <c r="AI146" s="294"/>
      <c r="AJ146" s="294"/>
      <c r="AK146" s="294"/>
      <c r="AL146" s="294"/>
      <c r="AM146" s="294"/>
      <c r="AN146" s="294"/>
      <c r="AO146" s="294"/>
      <c r="AP146" s="294"/>
      <c r="AQ146" s="294"/>
      <c r="AR146" s="294"/>
    </row>
    <row r="147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  <c r="AD147" s="294"/>
      <c r="AE147" s="294"/>
      <c r="AF147" s="294"/>
      <c r="AG147" s="294"/>
      <c r="AH147" s="294"/>
      <c r="AI147" s="294"/>
      <c r="AJ147" s="294"/>
      <c r="AK147" s="294"/>
      <c r="AL147" s="294"/>
      <c r="AM147" s="294"/>
      <c r="AN147" s="294"/>
      <c r="AO147" s="294"/>
      <c r="AP147" s="294"/>
      <c r="AQ147" s="294"/>
      <c r="AR147" s="294"/>
    </row>
    <row r="148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  <c r="AC148" s="294"/>
      <c r="AD148" s="294"/>
      <c r="AE148" s="294"/>
      <c r="AF148" s="294"/>
      <c r="AG148" s="294"/>
      <c r="AH148" s="294"/>
      <c r="AI148" s="294"/>
      <c r="AJ148" s="294"/>
      <c r="AK148" s="294"/>
      <c r="AL148" s="294"/>
      <c r="AM148" s="294"/>
      <c r="AN148" s="294"/>
      <c r="AO148" s="294"/>
      <c r="AP148" s="294"/>
      <c r="AQ148" s="294"/>
      <c r="AR148" s="294"/>
    </row>
    <row r="149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  <c r="AC149" s="294"/>
      <c r="AD149" s="294"/>
      <c r="AE149" s="294"/>
      <c r="AF149" s="294"/>
      <c r="AG149" s="294"/>
      <c r="AH149" s="294"/>
      <c r="AI149" s="294"/>
      <c r="AJ149" s="294"/>
      <c r="AK149" s="294"/>
      <c r="AL149" s="294"/>
      <c r="AM149" s="294"/>
      <c r="AN149" s="294"/>
      <c r="AO149" s="294"/>
      <c r="AP149" s="294"/>
      <c r="AQ149" s="294"/>
      <c r="AR149" s="294"/>
    </row>
    <row r="150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</row>
    <row r="151">
      <c r="A151" s="294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  <c r="AC151" s="294"/>
      <c r="AD151" s="294"/>
      <c r="AE151" s="294"/>
      <c r="AF151" s="294"/>
      <c r="AG151" s="294"/>
      <c r="AH151" s="294"/>
      <c r="AI151" s="294"/>
      <c r="AJ151" s="294"/>
      <c r="AK151" s="294"/>
      <c r="AL151" s="294"/>
      <c r="AM151" s="294"/>
      <c r="AN151" s="294"/>
      <c r="AO151" s="294"/>
      <c r="AP151" s="294"/>
      <c r="AQ151" s="294"/>
      <c r="AR151" s="294"/>
    </row>
    <row r="152">
      <c r="A152" s="294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  <c r="AC152" s="294"/>
      <c r="AD152" s="294"/>
      <c r="AE152" s="294"/>
      <c r="AF152" s="294"/>
      <c r="AG152" s="294"/>
      <c r="AH152" s="294"/>
      <c r="AI152" s="294"/>
      <c r="AJ152" s="294"/>
      <c r="AK152" s="294"/>
      <c r="AL152" s="294"/>
      <c r="AM152" s="294"/>
      <c r="AN152" s="294"/>
      <c r="AO152" s="294"/>
      <c r="AP152" s="294"/>
      <c r="AQ152" s="294"/>
      <c r="AR152" s="294"/>
    </row>
    <row r="153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  <c r="AD153" s="294"/>
      <c r="AE153" s="294"/>
      <c r="AF153" s="294"/>
      <c r="AG153" s="294"/>
      <c r="AH153" s="294"/>
      <c r="AI153" s="294"/>
      <c r="AJ153" s="294"/>
      <c r="AK153" s="294"/>
      <c r="AL153" s="294"/>
      <c r="AM153" s="294"/>
      <c r="AN153" s="294"/>
      <c r="AO153" s="294"/>
      <c r="AP153" s="294"/>
      <c r="AQ153" s="294"/>
      <c r="AR153" s="294"/>
    </row>
    <row r="154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/>
      <c r="AK154" s="294"/>
      <c r="AL154" s="294"/>
      <c r="AM154" s="294"/>
      <c r="AN154" s="294"/>
      <c r="AO154" s="294"/>
      <c r="AP154" s="294"/>
      <c r="AQ154" s="294"/>
      <c r="AR154" s="294"/>
    </row>
    <row r="155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  <c r="AD155" s="294"/>
      <c r="AE155" s="294"/>
      <c r="AF155" s="294"/>
      <c r="AG155" s="294"/>
      <c r="AH155" s="294"/>
      <c r="AI155" s="294"/>
      <c r="AJ155" s="294"/>
      <c r="AK155" s="294"/>
      <c r="AL155" s="294"/>
      <c r="AM155" s="294"/>
      <c r="AN155" s="294"/>
      <c r="AO155" s="294"/>
      <c r="AP155" s="294"/>
      <c r="AQ155" s="294"/>
      <c r="AR155" s="294"/>
    </row>
    <row r="156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</row>
    <row r="157">
      <c r="A157" s="294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  <c r="AC157" s="294"/>
      <c r="AD157" s="294"/>
      <c r="AE157" s="294"/>
      <c r="AF157" s="294"/>
      <c r="AG157" s="294"/>
      <c r="AH157" s="294"/>
      <c r="AI157" s="294"/>
      <c r="AJ157" s="294"/>
      <c r="AK157" s="294"/>
      <c r="AL157" s="294"/>
      <c r="AM157" s="294"/>
      <c r="AN157" s="294"/>
      <c r="AO157" s="294"/>
      <c r="AP157" s="294"/>
      <c r="AQ157" s="294"/>
      <c r="AR157" s="294"/>
    </row>
    <row r="158">
      <c r="A158" s="294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  <c r="AC158" s="294"/>
      <c r="AD158" s="294"/>
      <c r="AE158" s="294"/>
      <c r="AF158" s="294"/>
      <c r="AG158" s="294"/>
      <c r="AH158" s="294"/>
      <c r="AI158" s="294"/>
      <c r="AJ158" s="294"/>
      <c r="AK158" s="294"/>
      <c r="AL158" s="294"/>
      <c r="AM158" s="294"/>
      <c r="AN158" s="294"/>
      <c r="AO158" s="294"/>
      <c r="AP158" s="294"/>
      <c r="AQ158" s="294"/>
      <c r="AR158" s="294"/>
    </row>
    <row r="159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4"/>
      <c r="AK159" s="294"/>
      <c r="AL159" s="294"/>
      <c r="AM159" s="294"/>
      <c r="AN159" s="294"/>
      <c r="AO159" s="294"/>
      <c r="AP159" s="294"/>
      <c r="AQ159" s="294"/>
      <c r="AR159" s="294"/>
    </row>
    <row r="160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4"/>
      <c r="AK160" s="294"/>
      <c r="AL160" s="294"/>
      <c r="AM160" s="294"/>
      <c r="AN160" s="294"/>
      <c r="AO160" s="294"/>
      <c r="AP160" s="294"/>
      <c r="AQ160" s="294"/>
      <c r="AR160" s="294"/>
    </row>
    <row r="161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4"/>
      <c r="AK161" s="294"/>
      <c r="AL161" s="294"/>
      <c r="AM161" s="294"/>
      <c r="AN161" s="294"/>
      <c r="AO161" s="294"/>
      <c r="AP161" s="294"/>
      <c r="AQ161" s="294"/>
      <c r="AR161" s="294"/>
    </row>
    <row r="162">
      <c r="A162" s="294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  <c r="AF162" s="294"/>
      <c r="AG162" s="294"/>
      <c r="AH162" s="294"/>
      <c r="AI162" s="294"/>
      <c r="AJ162" s="294"/>
      <c r="AK162" s="294"/>
      <c r="AL162" s="294"/>
      <c r="AM162" s="294"/>
      <c r="AN162" s="294"/>
      <c r="AO162" s="294"/>
      <c r="AP162" s="294"/>
      <c r="AQ162" s="294"/>
      <c r="AR162" s="294"/>
    </row>
    <row r="163">
      <c r="A163" s="294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  <c r="AF163" s="294"/>
      <c r="AG163" s="294"/>
      <c r="AH163" s="294"/>
      <c r="AI163" s="294"/>
      <c r="AJ163" s="294"/>
      <c r="AK163" s="294"/>
      <c r="AL163" s="294"/>
      <c r="AM163" s="294"/>
      <c r="AN163" s="294"/>
      <c r="AO163" s="294"/>
      <c r="AP163" s="294"/>
      <c r="AQ163" s="294"/>
      <c r="AR163" s="294"/>
    </row>
    <row r="164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4"/>
      <c r="AK164" s="294"/>
      <c r="AL164" s="294"/>
      <c r="AM164" s="294"/>
      <c r="AN164" s="294"/>
      <c r="AO164" s="294"/>
      <c r="AP164" s="294"/>
      <c r="AQ164" s="294"/>
      <c r="AR164" s="294"/>
    </row>
    <row r="165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4"/>
      <c r="AK165" s="294"/>
      <c r="AL165" s="294"/>
      <c r="AM165" s="294"/>
      <c r="AN165" s="294"/>
      <c r="AO165" s="294"/>
      <c r="AP165" s="294"/>
      <c r="AQ165" s="294"/>
      <c r="AR165" s="294"/>
    </row>
    <row r="166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4"/>
      <c r="AK166" s="294"/>
      <c r="AL166" s="294"/>
      <c r="AM166" s="294"/>
      <c r="AN166" s="294"/>
      <c r="AO166" s="294"/>
      <c r="AP166" s="294"/>
      <c r="AQ166" s="294"/>
      <c r="AR166" s="294"/>
    </row>
    <row r="167">
      <c r="A167" s="294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4"/>
      <c r="AK167" s="294"/>
      <c r="AL167" s="294"/>
      <c r="AM167" s="294"/>
      <c r="AN167" s="294"/>
      <c r="AO167" s="294"/>
      <c r="AP167" s="294"/>
      <c r="AQ167" s="294"/>
      <c r="AR167" s="294"/>
    </row>
    <row r="168">
      <c r="A168" s="294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4"/>
      <c r="AK168" s="294"/>
      <c r="AL168" s="294"/>
      <c r="AM168" s="294"/>
      <c r="AN168" s="294"/>
      <c r="AO168" s="294"/>
      <c r="AP168" s="294"/>
      <c r="AQ168" s="294"/>
      <c r="AR168" s="294"/>
    </row>
    <row r="169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4"/>
      <c r="AK169" s="294"/>
      <c r="AL169" s="294"/>
      <c r="AM169" s="294"/>
      <c r="AN169" s="294"/>
      <c r="AO169" s="294"/>
      <c r="AP169" s="294"/>
      <c r="AQ169" s="294"/>
      <c r="AR169" s="294"/>
    </row>
    <row r="170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  <c r="AC170" s="294"/>
      <c r="AD170" s="294"/>
      <c r="AE170" s="294"/>
      <c r="AF170" s="294"/>
      <c r="AG170" s="294"/>
      <c r="AH170" s="294"/>
      <c r="AI170" s="294"/>
      <c r="AJ170" s="294"/>
      <c r="AK170" s="294"/>
      <c r="AL170" s="294"/>
      <c r="AM170" s="294"/>
      <c r="AN170" s="294"/>
      <c r="AO170" s="294"/>
      <c r="AP170" s="294"/>
      <c r="AQ170" s="294"/>
      <c r="AR170" s="294"/>
    </row>
    <row r="171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  <c r="AC171" s="294"/>
      <c r="AD171" s="294"/>
      <c r="AE171" s="294"/>
      <c r="AF171" s="294"/>
      <c r="AG171" s="294"/>
      <c r="AH171" s="294"/>
      <c r="AI171" s="294"/>
      <c r="AJ171" s="294"/>
      <c r="AK171" s="294"/>
      <c r="AL171" s="294"/>
      <c r="AM171" s="294"/>
      <c r="AN171" s="294"/>
      <c r="AO171" s="294"/>
      <c r="AP171" s="294"/>
      <c r="AQ171" s="294"/>
      <c r="AR171" s="294"/>
    </row>
    <row r="172">
      <c r="A172" s="294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4"/>
      <c r="AK172" s="294"/>
      <c r="AL172" s="294"/>
      <c r="AM172" s="294"/>
      <c r="AN172" s="294"/>
      <c r="AO172" s="294"/>
      <c r="AP172" s="294"/>
      <c r="AQ172" s="294"/>
      <c r="AR172" s="294"/>
    </row>
    <row r="173">
      <c r="A173" s="294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4"/>
      <c r="AF173" s="294"/>
      <c r="AG173" s="294"/>
      <c r="AH173" s="294"/>
      <c r="AI173" s="294"/>
      <c r="AJ173" s="294"/>
      <c r="AK173" s="294"/>
      <c r="AL173" s="294"/>
      <c r="AM173" s="294"/>
      <c r="AN173" s="294"/>
      <c r="AO173" s="294"/>
      <c r="AP173" s="294"/>
      <c r="AQ173" s="294"/>
      <c r="AR173" s="294"/>
    </row>
    <row r="174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4"/>
      <c r="AF174" s="294"/>
      <c r="AG174" s="294"/>
      <c r="AH174" s="294"/>
      <c r="AI174" s="294"/>
      <c r="AJ174" s="294"/>
      <c r="AK174" s="294"/>
      <c r="AL174" s="294"/>
      <c r="AM174" s="294"/>
      <c r="AN174" s="294"/>
      <c r="AO174" s="294"/>
      <c r="AP174" s="294"/>
      <c r="AQ174" s="294"/>
      <c r="AR174" s="294"/>
    </row>
    <row r="175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4"/>
      <c r="AF175" s="294"/>
      <c r="AG175" s="294"/>
      <c r="AH175" s="294"/>
      <c r="AI175" s="294"/>
      <c r="AJ175" s="294"/>
      <c r="AK175" s="294"/>
      <c r="AL175" s="294"/>
      <c r="AM175" s="294"/>
      <c r="AN175" s="294"/>
      <c r="AO175" s="294"/>
      <c r="AP175" s="294"/>
      <c r="AQ175" s="294"/>
      <c r="AR175" s="294"/>
    </row>
    <row r="176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  <c r="AF176" s="294"/>
      <c r="AG176" s="294"/>
      <c r="AH176" s="294"/>
      <c r="AI176" s="294"/>
      <c r="AJ176" s="294"/>
      <c r="AK176" s="294"/>
      <c r="AL176" s="294"/>
      <c r="AM176" s="294"/>
      <c r="AN176" s="294"/>
      <c r="AO176" s="294"/>
      <c r="AP176" s="294"/>
      <c r="AQ176" s="294"/>
      <c r="AR176" s="294"/>
    </row>
    <row r="177">
      <c r="A177" s="294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  <c r="AF177" s="294"/>
      <c r="AG177" s="294"/>
      <c r="AH177" s="294"/>
      <c r="AI177" s="294"/>
      <c r="AJ177" s="294"/>
      <c r="AK177" s="294"/>
      <c r="AL177" s="294"/>
      <c r="AM177" s="294"/>
      <c r="AN177" s="294"/>
      <c r="AO177" s="294"/>
      <c r="AP177" s="294"/>
      <c r="AQ177" s="294"/>
      <c r="AR177" s="294"/>
    </row>
    <row r="178">
      <c r="A178" s="294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  <c r="AF178" s="294"/>
      <c r="AG178" s="294"/>
      <c r="AH178" s="294"/>
      <c r="AI178" s="294"/>
      <c r="AJ178" s="294"/>
      <c r="AK178" s="294"/>
      <c r="AL178" s="294"/>
      <c r="AM178" s="294"/>
      <c r="AN178" s="294"/>
      <c r="AO178" s="294"/>
      <c r="AP178" s="294"/>
      <c r="AQ178" s="294"/>
      <c r="AR178" s="294"/>
    </row>
    <row r="179">
      <c r="A179" s="294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4"/>
      <c r="AF179" s="294"/>
      <c r="AG179" s="294"/>
      <c r="AH179" s="294"/>
      <c r="AI179" s="294"/>
      <c r="AJ179" s="294"/>
      <c r="AK179" s="294"/>
      <c r="AL179" s="294"/>
      <c r="AM179" s="294"/>
      <c r="AN179" s="294"/>
      <c r="AO179" s="294"/>
      <c r="AP179" s="294"/>
      <c r="AQ179" s="294"/>
      <c r="AR179" s="294"/>
    </row>
    <row r="180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4"/>
      <c r="AF180" s="294"/>
      <c r="AG180" s="294"/>
      <c r="AH180" s="294"/>
      <c r="AI180" s="294"/>
      <c r="AJ180" s="294"/>
      <c r="AK180" s="294"/>
      <c r="AL180" s="294"/>
      <c r="AM180" s="294"/>
      <c r="AN180" s="294"/>
      <c r="AO180" s="294"/>
      <c r="AP180" s="294"/>
      <c r="AQ180" s="294"/>
      <c r="AR180" s="294"/>
    </row>
    <row r="181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4"/>
      <c r="AF181" s="294"/>
      <c r="AG181" s="294"/>
      <c r="AH181" s="294"/>
      <c r="AI181" s="294"/>
      <c r="AJ181" s="294"/>
      <c r="AK181" s="294"/>
      <c r="AL181" s="294"/>
      <c r="AM181" s="294"/>
      <c r="AN181" s="294"/>
      <c r="AO181" s="294"/>
      <c r="AP181" s="294"/>
      <c r="AQ181" s="294"/>
      <c r="AR181" s="294"/>
    </row>
    <row r="18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  <c r="AC182" s="294"/>
      <c r="AD182" s="294"/>
      <c r="AE182" s="294"/>
      <c r="AF182" s="294"/>
      <c r="AG182" s="294"/>
      <c r="AH182" s="294"/>
      <c r="AI182" s="294"/>
      <c r="AJ182" s="294"/>
      <c r="AK182" s="294"/>
      <c r="AL182" s="294"/>
      <c r="AM182" s="294"/>
      <c r="AN182" s="294"/>
      <c r="AO182" s="294"/>
      <c r="AP182" s="294"/>
      <c r="AQ182" s="294"/>
      <c r="AR182" s="294"/>
    </row>
    <row r="183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  <c r="AC183" s="294"/>
      <c r="AD183" s="294"/>
      <c r="AE183" s="294"/>
      <c r="AF183" s="294"/>
      <c r="AG183" s="294"/>
      <c r="AH183" s="294"/>
      <c r="AI183" s="294"/>
      <c r="AJ183" s="294"/>
      <c r="AK183" s="294"/>
      <c r="AL183" s="294"/>
      <c r="AM183" s="294"/>
      <c r="AN183" s="294"/>
      <c r="AO183" s="294"/>
      <c r="AP183" s="294"/>
      <c r="AQ183" s="294"/>
      <c r="AR183" s="294"/>
    </row>
    <row r="184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  <c r="AC184" s="294"/>
      <c r="AD184" s="294"/>
      <c r="AE184" s="294"/>
      <c r="AF184" s="294"/>
      <c r="AG184" s="294"/>
      <c r="AH184" s="294"/>
      <c r="AI184" s="294"/>
      <c r="AJ184" s="294"/>
      <c r="AK184" s="294"/>
      <c r="AL184" s="294"/>
      <c r="AM184" s="294"/>
      <c r="AN184" s="294"/>
      <c r="AO184" s="294"/>
      <c r="AP184" s="294"/>
      <c r="AQ184" s="294"/>
      <c r="AR184" s="294"/>
    </row>
    <row r="185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</row>
    <row r="186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  <c r="AC186" s="294"/>
      <c r="AD186" s="294"/>
      <c r="AE186" s="294"/>
      <c r="AF186" s="294"/>
      <c r="AG186" s="294"/>
      <c r="AH186" s="294"/>
      <c r="AI186" s="294"/>
      <c r="AJ186" s="294"/>
      <c r="AK186" s="294"/>
      <c r="AL186" s="294"/>
      <c r="AM186" s="294"/>
      <c r="AN186" s="294"/>
      <c r="AO186" s="294"/>
      <c r="AP186" s="294"/>
      <c r="AQ186" s="294"/>
      <c r="AR186" s="294"/>
    </row>
    <row r="187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  <c r="AC187" s="294"/>
      <c r="AD187" s="294"/>
      <c r="AE187" s="294"/>
      <c r="AF187" s="294"/>
      <c r="AG187" s="294"/>
      <c r="AH187" s="294"/>
      <c r="AI187" s="294"/>
      <c r="AJ187" s="294"/>
      <c r="AK187" s="294"/>
      <c r="AL187" s="294"/>
      <c r="AM187" s="294"/>
      <c r="AN187" s="294"/>
      <c r="AO187" s="294"/>
      <c r="AP187" s="294"/>
      <c r="AQ187" s="294"/>
      <c r="AR187" s="294"/>
    </row>
    <row r="188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  <c r="AC188" s="294"/>
      <c r="AD188" s="294"/>
      <c r="AE188" s="294"/>
      <c r="AF188" s="294"/>
      <c r="AG188" s="294"/>
      <c r="AH188" s="294"/>
      <c r="AI188" s="294"/>
      <c r="AJ188" s="294"/>
      <c r="AK188" s="294"/>
      <c r="AL188" s="294"/>
      <c r="AM188" s="294"/>
      <c r="AN188" s="294"/>
      <c r="AO188" s="294"/>
      <c r="AP188" s="294"/>
      <c r="AQ188" s="294"/>
      <c r="AR188" s="294"/>
    </row>
    <row r="189">
      <c r="A189" s="294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  <c r="AC189" s="294"/>
      <c r="AD189" s="294"/>
      <c r="AE189" s="294"/>
      <c r="AF189" s="294"/>
      <c r="AG189" s="294"/>
      <c r="AH189" s="294"/>
      <c r="AI189" s="294"/>
      <c r="AJ189" s="294"/>
      <c r="AK189" s="294"/>
      <c r="AL189" s="294"/>
      <c r="AM189" s="294"/>
      <c r="AN189" s="294"/>
      <c r="AO189" s="294"/>
      <c r="AP189" s="294"/>
      <c r="AQ189" s="294"/>
      <c r="AR189" s="294"/>
    </row>
    <row r="190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  <c r="AC190" s="294"/>
      <c r="AD190" s="294"/>
      <c r="AE190" s="294"/>
      <c r="AF190" s="294"/>
      <c r="AG190" s="294"/>
      <c r="AH190" s="294"/>
      <c r="AI190" s="294"/>
      <c r="AJ190" s="294"/>
      <c r="AK190" s="294"/>
      <c r="AL190" s="294"/>
      <c r="AM190" s="294"/>
      <c r="AN190" s="294"/>
      <c r="AO190" s="294"/>
      <c r="AP190" s="294"/>
      <c r="AQ190" s="294"/>
      <c r="AR190" s="294"/>
    </row>
    <row r="191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4"/>
      <c r="AK191" s="294"/>
      <c r="AL191" s="294"/>
      <c r="AM191" s="294"/>
      <c r="AN191" s="294"/>
      <c r="AO191" s="294"/>
      <c r="AP191" s="294"/>
      <c r="AQ191" s="294"/>
      <c r="AR191" s="294"/>
    </row>
    <row r="192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  <c r="AC192" s="294"/>
      <c r="AD192" s="294"/>
      <c r="AE192" s="294"/>
      <c r="AF192" s="294"/>
      <c r="AG192" s="294"/>
      <c r="AH192" s="294"/>
      <c r="AI192" s="294"/>
      <c r="AJ192" s="294"/>
      <c r="AK192" s="294"/>
      <c r="AL192" s="294"/>
      <c r="AM192" s="294"/>
      <c r="AN192" s="294"/>
      <c r="AO192" s="294"/>
      <c r="AP192" s="294"/>
      <c r="AQ192" s="294"/>
      <c r="AR192" s="294"/>
    </row>
    <row r="193">
      <c r="A193" s="294"/>
      <c r="B193" s="294"/>
      <c r="C193" s="294"/>
      <c r="D193" s="294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  <c r="AC193" s="294"/>
      <c r="AD193" s="294"/>
      <c r="AE193" s="294"/>
      <c r="AF193" s="294"/>
      <c r="AG193" s="294"/>
      <c r="AH193" s="294"/>
      <c r="AI193" s="294"/>
      <c r="AJ193" s="294"/>
      <c r="AK193" s="294"/>
      <c r="AL193" s="294"/>
      <c r="AM193" s="294"/>
      <c r="AN193" s="294"/>
      <c r="AO193" s="294"/>
      <c r="AP193" s="294"/>
      <c r="AQ193" s="294"/>
      <c r="AR193" s="294"/>
    </row>
    <row r="194">
      <c r="A194" s="294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  <c r="AC194" s="294"/>
      <c r="AD194" s="294"/>
      <c r="AE194" s="294"/>
      <c r="AF194" s="294"/>
      <c r="AG194" s="294"/>
      <c r="AH194" s="294"/>
      <c r="AI194" s="294"/>
      <c r="AJ194" s="294"/>
      <c r="AK194" s="294"/>
      <c r="AL194" s="294"/>
      <c r="AM194" s="294"/>
      <c r="AN194" s="294"/>
      <c r="AO194" s="294"/>
      <c r="AP194" s="294"/>
      <c r="AQ194" s="294"/>
      <c r="AR194" s="294"/>
    </row>
    <row r="195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  <c r="AC195" s="294"/>
      <c r="AD195" s="294"/>
      <c r="AE195" s="294"/>
      <c r="AF195" s="294"/>
      <c r="AG195" s="294"/>
      <c r="AH195" s="294"/>
      <c r="AI195" s="294"/>
      <c r="AJ195" s="294"/>
      <c r="AK195" s="294"/>
      <c r="AL195" s="294"/>
      <c r="AM195" s="294"/>
      <c r="AN195" s="294"/>
      <c r="AO195" s="294"/>
      <c r="AP195" s="294"/>
      <c r="AQ195" s="294"/>
      <c r="AR195" s="294"/>
    </row>
    <row r="196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4"/>
      <c r="AK196" s="294"/>
      <c r="AL196" s="294"/>
      <c r="AM196" s="294"/>
      <c r="AN196" s="294"/>
      <c r="AO196" s="294"/>
      <c r="AP196" s="294"/>
      <c r="AQ196" s="294"/>
      <c r="AR196" s="294"/>
    </row>
    <row r="197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  <c r="AD197" s="294"/>
      <c r="AE197" s="294"/>
      <c r="AF197" s="294"/>
      <c r="AG197" s="294"/>
      <c r="AH197" s="294"/>
      <c r="AI197" s="294"/>
      <c r="AJ197" s="294"/>
      <c r="AK197" s="294"/>
      <c r="AL197" s="294"/>
      <c r="AM197" s="294"/>
      <c r="AN197" s="294"/>
      <c r="AO197" s="294"/>
      <c r="AP197" s="294"/>
      <c r="AQ197" s="294"/>
      <c r="AR197" s="294"/>
    </row>
    <row r="198">
      <c r="A198" s="294"/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  <c r="AC198" s="294"/>
      <c r="AD198" s="294"/>
      <c r="AE198" s="294"/>
      <c r="AF198" s="294"/>
      <c r="AG198" s="294"/>
      <c r="AH198" s="294"/>
      <c r="AI198" s="294"/>
      <c r="AJ198" s="294"/>
      <c r="AK198" s="294"/>
      <c r="AL198" s="294"/>
      <c r="AM198" s="294"/>
      <c r="AN198" s="294"/>
      <c r="AO198" s="294"/>
      <c r="AP198" s="294"/>
      <c r="AQ198" s="294"/>
      <c r="AR198" s="294"/>
    </row>
    <row r="199">
      <c r="A199" s="294"/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  <c r="AC199" s="294"/>
      <c r="AD199" s="294"/>
      <c r="AE199" s="294"/>
      <c r="AF199" s="294"/>
      <c r="AG199" s="294"/>
      <c r="AH199" s="294"/>
      <c r="AI199" s="294"/>
      <c r="AJ199" s="294"/>
      <c r="AK199" s="294"/>
      <c r="AL199" s="294"/>
      <c r="AM199" s="294"/>
      <c r="AN199" s="294"/>
      <c r="AO199" s="294"/>
      <c r="AP199" s="294"/>
      <c r="AQ199" s="294"/>
      <c r="AR199" s="294"/>
    </row>
    <row r="200">
      <c r="A200" s="294"/>
      <c r="B200" s="294"/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  <c r="AC200" s="294"/>
      <c r="AD200" s="294"/>
      <c r="AE200" s="294"/>
      <c r="AF200" s="294"/>
      <c r="AG200" s="294"/>
      <c r="AH200" s="294"/>
      <c r="AI200" s="294"/>
      <c r="AJ200" s="294"/>
      <c r="AK200" s="294"/>
      <c r="AL200" s="294"/>
      <c r="AM200" s="294"/>
      <c r="AN200" s="294"/>
      <c r="AO200" s="294"/>
      <c r="AP200" s="294"/>
      <c r="AQ200" s="294"/>
      <c r="AR200" s="294"/>
    </row>
    <row r="201">
      <c r="A201" s="294"/>
      <c r="B201" s="294"/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  <c r="AC201" s="294"/>
      <c r="AD201" s="294"/>
      <c r="AE201" s="294"/>
      <c r="AF201" s="294"/>
      <c r="AG201" s="294"/>
      <c r="AH201" s="294"/>
      <c r="AI201" s="294"/>
      <c r="AJ201" s="294"/>
      <c r="AK201" s="294"/>
      <c r="AL201" s="294"/>
      <c r="AM201" s="294"/>
      <c r="AN201" s="294"/>
      <c r="AO201" s="294"/>
      <c r="AP201" s="294"/>
      <c r="AQ201" s="294"/>
      <c r="AR201" s="294"/>
    </row>
    <row r="20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  <c r="AC202" s="294"/>
      <c r="AD202" s="294"/>
      <c r="AE202" s="294"/>
      <c r="AF202" s="294"/>
      <c r="AG202" s="294"/>
      <c r="AH202" s="294"/>
      <c r="AI202" s="294"/>
      <c r="AJ202" s="294"/>
      <c r="AK202" s="294"/>
      <c r="AL202" s="294"/>
      <c r="AM202" s="294"/>
      <c r="AN202" s="294"/>
      <c r="AO202" s="294"/>
      <c r="AP202" s="294"/>
      <c r="AQ202" s="294"/>
      <c r="AR202" s="294"/>
    </row>
    <row r="203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  <c r="AC203" s="294"/>
      <c r="AD203" s="294"/>
      <c r="AE203" s="294"/>
      <c r="AF203" s="294"/>
      <c r="AG203" s="294"/>
      <c r="AH203" s="294"/>
      <c r="AI203" s="294"/>
      <c r="AJ203" s="294"/>
      <c r="AK203" s="294"/>
      <c r="AL203" s="294"/>
      <c r="AM203" s="294"/>
      <c r="AN203" s="294"/>
      <c r="AO203" s="294"/>
      <c r="AP203" s="294"/>
      <c r="AQ203" s="294"/>
      <c r="AR203" s="294"/>
    </row>
    <row r="204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  <c r="AC204" s="294"/>
      <c r="AD204" s="294"/>
      <c r="AE204" s="294"/>
      <c r="AF204" s="294"/>
      <c r="AG204" s="294"/>
      <c r="AH204" s="294"/>
      <c r="AI204" s="294"/>
      <c r="AJ204" s="294"/>
      <c r="AK204" s="294"/>
      <c r="AL204" s="294"/>
      <c r="AM204" s="294"/>
      <c r="AN204" s="294"/>
      <c r="AO204" s="294"/>
      <c r="AP204" s="294"/>
      <c r="AQ204" s="294"/>
      <c r="AR204" s="294"/>
    </row>
    <row r="205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  <c r="AC205" s="294"/>
      <c r="AD205" s="294"/>
      <c r="AE205" s="294"/>
      <c r="AF205" s="294"/>
      <c r="AG205" s="294"/>
      <c r="AH205" s="294"/>
      <c r="AI205" s="294"/>
      <c r="AJ205" s="294"/>
      <c r="AK205" s="294"/>
      <c r="AL205" s="294"/>
      <c r="AM205" s="294"/>
      <c r="AN205" s="294"/>
      <c r="AO205" s="294"/>
      <c r="AP205" s="294"/>
      <c r="AQ205" s="294"/>
      <c r="AR205" s="294"/>
    </row>
    <row r="206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4"/>
      <c r="AL206" s="294"/>
      <c r="AM206" s="294"/>
      <c r="AN206" s="294"/>
      <c r="AO206" s="294"/>
      <c r="AP206" s="294"/>
      <c r="AQ206" s="294"/>
      <c r="AR206" s="294"/>
    </row>
    <row r="207">
      <c r="A207" s="294"/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  <c r="AC207" s="294"/>
      <c r="AD207" s="294"/>
      <c r="AE207" s="294"/>
      <c r="AF207" s="294"/>
      <c r="AG207" s="294"/>
      <c r="AH207" s="294"/>
      <c r="AI207" s="294"/>
      <c r="AJ207" s="294"/>
      <c r="AK207" s="294"/>
      <c r="AL207" s="294"/>
      <c r="AM207" s="294"/>
      <c r="AN207" s="294"/>
      <c r="AO207" s="294"/>
      <c r="AP207" s="294"/>
      <c r="AQ207" s="294"/>
      <c r="AR207" s="294"/>
    </row>
    <row r="208">
      <c r="A208" s="294"/>
      <c r="B208" s="294"/>
      <c r="C208" s="294"/>
      <c r="D208" s="294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  <c r="AC208" s="294"/>
      <c r="AD208" s="294"/>
      <c r="AE208" s="294"/>
      <c r="AF208" s="294"/>
      <c r="AG208" s="294"/>
      <c r="AH208" s="294"/>
      <c r="AI208" s="294"/>
      <c r="AJ208" s="294"/>
      <c r="AK208" s="294"/>
      <c r="AL208" s="294"/>
      <c r="AM208" s="294"/>
      <c r="AN208" s="294"/>
      <c r="AO208" s="294"/>
      <c r="AP208" s="294"/>
      <c r="AQ208" s="294"/>
      <c r="AR208" s="294"/>
    </row>
    <row r="209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  <c r="AC209" s="294"/>
      <c r="AD209" s="294"/>
      <c r="AE209" s="294"/>
      <c r="AF209" s="294"/>
      <c r="AG209" s="294"/>
      <c r="AH209" s="294"/>
      <c r="AI209" s="294"/>
      <c r="AJ209" s="294"/>
      <c r="AK209" s="294"/>
      <c r="AL209" s="294"/>
      <c r="AM209" s="294"/>
      <c r="AN209" s="294"/>
      <c r="AO209" s="294"/>
      <c r="AP209" s="294"/>
      <c r="AQ209" s="294"/>
      <c r="AR209" s="294"/>
    </row>
    <row r="210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  <c r="AC210" s="294"/>
      <c r="AD210" s="294"/>
      <c r="AE210" s="294"/>
      <c r="AF210" s="294"/>
      <c r="AG210" s="294"/>
      <c r="AH210" s="294"/>
      <c r="AI210" s="294"/>
      <c r="AJ210" s="294"/>
      <c r="AK210" s="294"/>
      <c r="AL210" s="294"/>
      <c r="AM210" s="294"/>
      <c r="AN210" s="294"/>
      <c r="AO210" s="294"/>
      <c r="AP210" s="294"/>
      <c r="AQ210" s="294"/>
      <c r="AR210" s="294"/>
    </row>
    <row r="211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  <c r="AC211" s="294"/>
      <c r="AD211" s="294"/>
      <c r="AE211" s="294"/>
      <c r="AF211" s="294"/>
      <c r="AG211" s="294"/>
      <c r="AH211" s="294"/>
      <c r="AI211" s="294"/>
      <c r="AJ211" s="294"/>
      <c r="AK211" s="294"/>
      <c r="AL211" s="294"/>
      <c r="AM211" s="294"/>
      <c r="AN211" s="294"/>
      <c r="AO211" s="294"/>
      <c r="AP211" s="294"/>
      <c r="AQ211" s="294"/>
      <c r="AR211" s="294"/>
    </row>
    <row r="212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  <c r="AC212" s="294"/>
      <c r="AD212" s="294"/>
      <c r="AE212" s="294"/>
      <c r="AF212" s="294"/>
      <c r="AG212" s="294"/>
      <c r="AH212" s="294"/>
      <c r="AI212" s="294"/>
      <c r="AJ212" s="294"/>
      <c r="AK212" s="294"/>
      <c r="AL212" s="294"/>
      <c r="AM212" s="294"/>
      <c r="AN212" s="294"/>
      <c r="AO212" s="294"/>
      <c r="AP212" s="294"/>
      <c r="AQ212" s="294"/>
      <c r="AR212" s="294"/>
    </row>
    <row r="213">
      <c r="A213" s="294"/>
      <c r="B213" s="294"/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  <c r="AC213" s="294"/>
      <c r="AD213" s="294"/>
      <c r="AE213" s="294"/>
      <c r="AF213" s="294"/>
      <c r="AG213" s="294"/>
      <c r="AH213" s="294"/>
      <c r="AI213" s="294"/>
      <c r="AJ213" s="294"/>
      <c r="AK213" s="294"/>
      <c r="AL213" s="294"/>
      <c r="AM213" s="294"/>
      <c r="AN213" s="294"/>
      <c r="AO213" s="294"/>
      <c r="AP213" s="294"/>
      <c r="AQ213" s="294"/>
      <c r="AR213" s="294"/>
    </row>
    <row r="214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  <c r="AC214" s="294"/>
      <c r="AD214" s="294"/>
      <c r="AE214" s="294"/>
      <c r="AF214" s="294"/>
      <c r="AG214" s="294"/>
      <c r="AH214" s="294"/>
      <c r="AI214" s="294"/>
      <c r="AJ214" s="294"/>
      <c r="AK214" s="294"/>
      <c r="AL214" s="294"/>
      <c r="AM214" s="294"/>
      <c r="AN214" s="294"/>
      <c r="AO214" s="294"/>
      <c r="AP214" s="294"/>
      <c r="AQ214" s="294"/>
      <c r="AR214" s="294"/>
    </row>
    <row r="215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  <c r="AC215" s="294"/>
      <c r="AD215" s="294"/>
      <c r="AE215" s="294"/>
      <c r="AF215" s="294"/>
      <c r="AG215" s="294"/>
      <c r="AH215" s="294"/>
      <c r="AI215" s="294"/>
      <c r="AJ215" s="294"/>
      <c r="AK215" s="294"/>
      <c r="AL215" s="294"/>
      <c r="AM215" s="294"/>
      <c r="AN215" s="294"/>
      <c r="AO215" s="294"/>
      <c r="AP215" s="294"/>
      <c r="AQ215" s="294"/>
      <c r="AR215" s="294"/>
    </row>
    <row r="216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  <c r="AC216" s="294"/>
      <c r="AD216" s="294"/>
      <c r="AE216" s="294"/>
      <c r="AF216" s="294"/>
      <c r="AG216" s="294"/>
      <c r="AH216" s="294"/>
      <c r="AI216" s="294"/>
      <c r="AJ216" s="294"/>
      <c r="AK216" s="294"/>
      <c r="AL216" s="294"/>
      <c r="AM216" s="294"/>
      <c r="AN216" s="294"/>
      <c r="AO216" s="294"/>
      <c r="AP216" s="294"/>
      <c r="AQ216" s="294"/>
      <c r="AR216" s="294"/>
    </row>
    <row r="217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  <c r="AC217" s="294"/>
      <c r="AD217" s="294"/>
      <c r="AE217" s="294"/>
      <c r="AF217" s="294"/>
      <c r="AG217" s="294"/>
      <c r="AH217" s="294"/>
      <c r="AI217" s="294"/>
      <c r="AJ217" s="294"/>
      <c r="AK217" s="294"/>
      <c r="AL217" s="294"/>
      <c r="AM217" s="294"/>
      <c r="AN217" s="294"/>
      <c r="AO217" s="294"/>
      <c r="AP217" s="294"/>
      <c r="AQ217" s="294"/>
      <c r="AR217" s="294"/>
    </row>
    <row r="218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  <c r="AC218" s="294"/>
      <c r="AD218" s="294"/>
      <c r="AE218" s="294"/>
      <c r="AF218" s="294"/>
      <c r="AG218" s="294"/>
      <c r="AH218" s="294"/>
      <c r="AI218" s="294"/>
      <c r="AJ218" s="294"/>
      <c r="AK218" s="294"/>
      <c r="AL218" s="294"/>
      <c r="AM218" s="294"/>
      <c r="AN218" s="294"/>
      <c r="AO218" s="294"/>
      <c r="AP218" s="294"/>
      <c r="AQ218" s="294"/>
      <c r="AR218" s="294"/>
    </row>
    <row r="219">
      <c r="A219" s="294"/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  <c r="AC219" s="294"/>
      <c r="AD219" s="294"/>
      <c r="AE219" s="294"/>
      <c r="AF219" s="294"/>
      <c r="AG219" s="294"/>
      <c r="AH219" s="294"/>
      <c r="AI219" s="294"/>
      <c r="AJ219" s="294"/>
      <c r="AK219" s="294"/>
      <c r="AL219" s="294"/>
      <c r="AM219" s="294"/>
      <c r="AN219" s="294"/>
      <c r="AO219" s="294"/>
      <c r="AP219" s="294"/>
      <c r="AQ219" s="294"/>
      <c r="AR219" s="294"/>
    </row>
    <row r="220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  <c r="AC220" s="294"/>
      <c r="AD220" s="294"/>
      <c r="AE220" s="294"/>
      <c r="AF220" s="294"/>
      <c r="AG220" s="294"/>
      <c r="AH220" s="294"/>
      <c r="AI220" s="294"/>
      <c r="AJ220" s="294"/>
      <c r="AK220" s="294"/>
      <c r="AL220" s="294"/>
      <c r="AM220" s="294"/>
      <c r="AN220" s="294"/>
      <c r="AO220" s="294"/>
      <c r="AP220" s="294"/>
      <c r="AQ220" s="294"/>
      <c r="AR220" s="294"/>
    </row>
    <row r="221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  <c r="AC221" s="294"/>
      <c r="AD221" s="294"/>
      <c r="AE221" s="294"/>
      <c r="AF221" s="294"/>
      <c r="AG221" s="294"/>
      <c r="AH221" s="294"/>
      <c r="AI221" s="294"/>
      <c r="AJ221" s="294"/>
      <c r="AK221" s="294"/>
      <c r="AL221" s="294"/>
      <c r="AM221" s="294"/>
      <c r="AN221" s="294"/>
      <c r="AO221" s="294"/>
      <c r="AP221" s="294"/>
      <c r="AQ221" s="294"/>
      <c r="AR221" s="294"/>
    </row>
    <row r="22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  <c r="AC222" s="294"/>
      <c r="AD222" s="294"/>
      <c r="AE222" s="294"/>
      <c r="AF222" s="294"/>
      <c r="AG222" s="294"/>
      <c r="AH222" s="294"/>
      <c r="AI222" s="294"/>
      <c r="AJ222" s="294"/>
      <c r="AK222" s="294"/>
      <c r="AL222" s="294"/>
      <c r="AM222" s="294"/>
      <c r="AN222" s="294"/>
      <c r="AO222" s="294"/>
      <c r="AP222" s="294"/>
      <c r="AQ222" s="294"/>
      <c r="AR222" s="294"/>
    </row>
    <row r="223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4"/>
      <c r="AK223" s="294"/>
      <c r="AL223" s="294"/>
      <c r="AM223" s="294"/>
      <c r="AN223" s="294"/>
      <c r="AO223" s="294"/>
      <c r="AP223" s="294"/>
      <c r="AQ223" s="294"/>
      <c r="AR223" s="294"/>
    </row>
    <row r="224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  <c r="AC224" s="294"/>
      <c r="AD224" s="294"/>
      <c r="AE224" s="294"/>
      <c r="AF224" s="294"/>
      <c r="AG224" s="294"/>
      <c r="AH224" s="294"/>
      <c r="AI224" s="294"/>
      <c r="AJ224" s="294"/>
      <c r="AK224" s="294"/>
      <c r="AL224" s="294"/>
      <c r="AM224" s="294"/>
      <c r="AN224" s="294"/>
      <c r="AO224" s="294"/>
      <c r="AP224" s="294"/>
      <c r="AQ224" s="294"/>
      <c r="AR224" s="294"/>
    </row>
    <row r="225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</row>
    <row r="226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4"/>
      <c r="AK226" s="294"/>
      <c r="AL226" s="294"/>
      <c r="AM226" s="294"/>
      <c r="AN226" s="294"/>
      <c r="AO226" s="294"/>
      <c r="AP226" s="294"/>
      <c r="AQ226" s="294"/>
      <c r="AR226" s="294"/>
    </row>
    <row r="227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  <c r="AD227" s="294"/>
      <c r="AE227" s="294"/>
      <c r="AF227" s="294"/>
      <c r="AG227" s="294"/>
      <c r="AH227" s="294"/>
      <c r="AI227" s="294"/>
      <c r="AJ227" s="294"/>
      <c r="AK227" s="294"/>
      <c r="AL227" s="294"/>
      <c r="AM227" s="294"/>
      <c r="AN227" s="294"/>
      <c r="AO227" s="294"/>
      <c r="AP227" s="294"/>
      <c r="AQ227" s="294"/>
      <c r="AR227" s="294"/>
    </row>
    <row r="228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  <c r="AC228" s="294"/>
      <c r="AD228" s="294"/>
      <c r="AE228" s="294"/>
      <c r="AF228" s="294"/>
      <c r="AG228" s="294"/>
      <c r="AH228" s="294"/>
      <c r="AI228" s="294"/>
      <c r="AJ228" s="294"/>
      <c r="AK228" s="294"/>
      <c r="AL228" s="294"/>
      <c r="AM228" s="294"/>
      <c r="AN228" s="294"/>
      <c r="AO228" s="294"/>
      <c r="AP228" s="294"/>
      <c r="AQ228" s="294"/>
      <c r="AR228" s="294"/>
    </row>
    <row r="229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  <c r="AC229" s="294"/>
      <c r="AD229" s="294"/>
      <c r="AE229" s="294"/>
      <c r="AF229" s="294"/>
      <c r="AG229" s="294"/>
      <c r="AH229" s="294"/>
      <c r="AI229" s="294"/>
      <c r="AJ229" s="294"/>
      <c r="AK229" s="294"/>
      <c r="AL229" s="294"/>
      <c r="AM229" s="294"/>
      <c r="AN229" s="294"/>
      <c r="AO229" s="294"/>
      <c r="AP229" s="294"/>
      <c r="AQ229" s="294"/>
      <c r="AR229" s="294"/>
    </row>
    <row r="230">
      <c r="A230" s="294"/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  <c r="AC230" s="294"/>
      <c r="AD230" s="294"/>
      <c r="AE230" s="294"/>
      <c r="AF230" s="294"/>
      <c r="AG230" s="294"/>
      <c r="AH230" s="294"/>
      <c r="AI230" s="294"/>
      <c r="AJ230" s="294"/>
      <c r="AK230" s="294"/>
      <c r="AL230" s="294"/>
      <c r="AM230" s="294"/>
      <c r="AN230" s="294"/>
      <c r="AO230" s="294"/>
      <c r="AP230" s="294"/>
      <c r="AQ230" s="294"/>
      <c r="AR230" s="294"/>
    </row>
    <row r="231">
      <c r="A231" s="294"/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4"/>
      <c r="AL231" s="294"/>
      <c r="AM231" s="294"/>
      <c r="AN231" s="294"/>
      <c r="AO231" s="294"/>
      <c r="AP231" s="294"/>
      <c r="AQ231" s="294"/>
      <c r="AR231" s="294"/>
    </row>
    <row r="23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4"/>
      <c r="AL232" s="294"/>
      <c r="AM232" s="294"/>
      <c r="AN232" s="294"/>
      <c r="AO232" s="294"/>
      <c r="AP232" s="294"/>
      <c r="AQ232" s="294"/>
      <c r="AR232" s="294"/>
    </row>
    <row r="233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4"/>
      <c r="AL233" s="294"/>
      <c r="AM233" s="294"/>
      <c r="AN233" s="294"/>
      <c r="AO233" s="294"/>
      <c r="AP233" s="294"/>
      <c r="AQ233" s="294"/>
      <c r="AR233" s="294"/>
    </row>
    <row r="234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4"/>
      <c r="AK234" s="294"/>
      <c r="AL234" s="294"/>
      <c r="AM234" s="294"/>
      <c r="AN234" s="294"/>
      <c r="AO234" s="294"/>
      <c r="AP234" s="294"/>
      <c r="AQ234" s="294"/>
      <c r="AR234" s="294"/>
    </row>
    <row r="235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4"/>
      <c r="AK235" s="294"/>
      <c r="AL235" s="294"/>
      <c r="AM235" s="294"/>
      <c r="AN235" s="294"/>
      <c r="AO235" s="294"/>
      <c r="AP235" s="294"/>
      <c r="AQ235" s="294"/>
      <c r="AR235" s="294"/>
    </row>
    <row r="236">
      <c r="A236" s="294"/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  <c r="AC236" s="294"/>
      <c r="AD236" s="294"/>
      <c r="AE236" s="294"/>
      <c r="AF236" s="294"/>
      <c r="AG236" s="294"/>
      <c r="AH236" s="294"/>
      <c r="AI236" s="294"/>
      <c r="AJ236" s="294"/>
      <c r="AK236" s="294"/>
      <c r="AL236" s="294"/>
      <c r="AM236" s="294"/>
      <c r="AN236" s="294"/>
      <c r="AO236" s="294"/>
      <c r="AP236" s="294"/>
      <c r="AQ236" s="294"/>
      <c r="AR236" s="294"/>
    </row>
    <row r="237">
      <c r="A237" s="294"/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  <c r="AC237" s="294"/>
      <c r="AD237" s="294"/>
      <c r="AE237" s="294"/>
      <c r="AF237" s="294"/>
      <c r="AG237" s="294"/>
      <c r="AH237" s="294"/>
      <c r="AI237" s="294"/>
      <c r="AJ237" s="294"/>
      <c r="AK237" s="294"/>
      <c r="AL237" s="294"/>
      <c r="AM237" s="294"/>
      <c r="AN237" s="294"/>
      <c r="AO237" s="294"/>
      <c r="AP237" s="294"/>
      <c r="AQ237" s="294"/>
      <c r="AR237" s="294"/>
    </row>
    <row r="238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  <c r="AF238" s="294"/>
      <c r="AG238" s="294"/>
      <c r="AH238" s="294"/>
      <c r="AI238" s="294"/>
      <c r="AJ238" s="294"/>
      <c r="AK238" s="294"/>
      <c r="AL238" s="294"/>
      <c r="AM238" s="294"/>
      <c r="AN238" s="294"/>
      <c r="AO238" s="294"/>
      <c r="AP238" s="294"/>
      <c r="AQ238" s="294"/>
      <c r="AR238" s="294"/>
    </row>
    <row r="239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L239" s="294"/>
      <c r="AM239" s="294"/>
      <c r="AN239" s="294"/>
      <c r="AO239" s="294"/>
      <c r="AP239" s="294"/>
      <c r="AQ239" s="294"/>
      <c r="AR239" s="294"/>
    </row>
    <row r="240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L240" s="294"/>
      <c r="AM240" s="294"/>
      <c r="AN240" s="294"/>
      <c r="AO240" s="294"/>
      <c r="AP240" s="294"/>
      <c r="AQ240" s="294"/>
      <c r="AR240" s="294"/>
    </row>
    <row r="241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4"/>
      <c r="AL241" s="294"/>
      <c r="AM241" s="294"/>
      <c r="AN241" s="294"/>
      <c r="AO241" s="294"/>
      <c r="AP241" s="294"/>
      <c r="AQ241" s="294"/>
      <c r="AR241" s="294"/>
    </row>
    <row r="24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4"/>
      <c r="AL242" s="294"/>
      <c r="AM242" s="294"/>
      <c r="AN242" s="294"/>
      <c r="AO242" s="294"/>
      <c r="AP242" s="294"/>
      <c r="AQ242" s="294"/>
      <c r="AR242" s="294"/>
    </row>
    <row r="243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4"/>
      <c r="AK243" s="294"/>
      <c r="AL243" s="294"/>
      <c r="AM243" s="294"/>
      <c r="AN243" s="294"/>
      <c r="AO243" s="294"/>
      <c r="AP243" s="294"/>
      <c r="AQ243" s="294"/>
      <c r="AR243" s="294"/>
    </row>
    <row r="244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4"/>
      <c r="AL244" s="294"/>
      <c r="AM244" s="294"/>
      <c r="AN244" s="294"/>
      <c r="AO244" s="294"/>
      <c r="AP244" s="294"/>
      <c r="AQ244" s="294"/>
      <c r="AR244" s="294"/>
    </row>
    <row r="245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4"/>
      <c r="AL245" s="294"/>
      <c r="AM245" s="294"/>
      <c r="AN245" s="294"/>
      <c r="AO245" s="294"/>
      <c r="AP245" s="294"/>
      <c r="AQ245" s="294"/>
      <c r="AR245" s="294"/>
    </row>
    <row r="246">
      <c r="A246" s="294"/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4"/>
      <c r="AL246" s="294"/>
      <c r="AM246" s="294"/>
      <c r="AN246" s="294"/>
      <c r="AO246" s="294"/>
      <c r="AP246" s="294"/>
      <c r="AQ246" s="294"/>
      <c r="AR246" s="294"/>
    </row>
    <row r="247">
      <c r="A247" s="294"/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4"/>
      <c r="AL247" s="294"/>
      <c r="AM247" s="294"/>
      <c r="AN247" s="294"/>
      <c r="AO247" s="294"/>
      <c r="AP247" s="294"/>
      <c r="AQ247" s="294"/>
      <c r="AR247" s="294"/>
    </row>
    <row r="248">
      <c r="A248" s="294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4"/>
      <c r="AL248" s="294"/>
      <c r="AM248" s="294"/>
      <c r="AN248" s="294"/>
      <c r="AO248" s="294"/>
      <c r="AP248" s="294"/>
      <c r="AQ248" s="294"/>
      <c r="AR248" s="294"/>
    </row>
    <row r="249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4"/>
      <c r="AL249" s="294"/>
      <c r="AM249" s="294"/>
      <c r="AN249" s="294"/>
      <c r="AO249" s="294"/>
      <c r="AP249" s="294"/>
      <c r="AQ249" s="294"/>
      <c r="AR249" s="294"/>
    </row>
    <row r="250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  <c r="AD250" s="294"/>
      <c r="AE250" s="294"/>
      <c r="AF250" s="294"/>
      <c r="AG250" s="294"/>
      <c r="AH250" s="294"/>
      <c r="AI250" s="294"/>
      <c r="AJ250" s="294"/>
      <c r="AK250" s="294"/>
      <c r="AL250" s="294"/>
      <c r="AM250" s="294"/>
      <c r="AN250" s="294"/>
      <c r="AO250" s="294"/>
      <c r="AP250" s="294"/>
      <c r="AQ250" s="294"/>
      <c r="AR250" s="294"/>
    </row>
    <row r="251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294"/>
      <c r="AN251" s="294"/>
      <c r="AO251" s="294"/>
      <c r="AP251" s="294"/>
      <c r="AQ251" s="294"/>
      <c r="AR251" s="294"/>
    </row>
    <row r="252">
      <c r="A252" s="294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4"/>
      <c r="AL252" s="294"/>
      <c r="AM252" s="294"/>
      <c r="AN252" s="294"/>
      <c r="AO252" s="294"/>
      <c r="AP252" s="294"/>
      <c r="AQ252" s="294"/>
      <c r="AR252" s="294"/>
    </row>
    <row r="253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4"/>
      <c r="AL253" s="294"/>
      <c r="AM253" s="294"/>
      <c r="AN253" s="294"/>
      <c r="AO253" s="294"/>
      <c r="AP253" s="294"/>
      <c r="AQ253" s="294"/>
      <c r="AR253" s="294"/>
    </row>
    <row r="254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4"/>
      <c r="AL254" s="294"/>
      <c r="AM254" s="294"/>
      <c r="AN254" s="294"/>
      <c r="AO254" s="294"/>
      <c r="AP254" s="294"/>
      <c r="AQ254" s="294"/>
      <c r="AR254" s="294"/>
    </row>
    <row r="255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4"/>
      <c r="AQ255" s="294"/>
      <c r="AR255" s="294"/>
    </row>
    <row r="256">
      <c r="A256" s="294"/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4"/>
      <c r="AL256" s="294"/>
      <c r="AM256" s="294"/>
      <c r="AN256" s="294"/>
      <c r="AO256" s="294"/>
      <c r="AP256" s="294"/>
      <c r="AQ256" s="294"/>
      <c r="AR256" s="294"/>
    </row>
    <row r="257">
      <c r="A257" s="294"/>
      <c r="B257" s="294"/>
      <c r="C257" s="294"/>
      <c r="D257" s="294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4"/>
      <c r="AL257" s="294"/>
      <c r="AM257" s="294"/>
      <c r="AN257" s="294"/>
      <c r="AO257" s="294"/>
      <c r="AP257" s="294"/>
      <c r="AQ257" s="294"/>
      <c r="AR257" s="294"/>
    </row>
    <row r="258">
      <c r="A258" s="294"/>
      <c r="B258" s="294"/>
      <c r="C258" s="294"/>
      <c r="D258" s="294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4"/>
      <c r="AK258" s="294"/>
      <c r="AL258" s="294"/>
      <c r="AM258" s="294"/>
      <c r="AN258" s="294"/>
      <c r="AO258" s="294"/>
      <c r="AP258" s="294"/>
      <c r="AQ258" s="294"/>
      <c r="AR258" s="294"/>
    </row>
    <row r="259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294"/>
      <c r="AN259" s="294"/>
      <c r="AO259" s="294"/>
      <c r="AP259" s="294"/>
      <c r="AQ259" s="294"/>
      <c r="AR259" s="294"/>
    </row>
    <row r="260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294"/>
      <c r="AN260" s="294"/>
      <c r="AO260" s="294"/>
      <c r="AP260" s="294"/>
      <c r="AQ260" s="294"/>
      <c r="AR260" s="294"/>
    </row>
    <row r="261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4"/>
      <c r="AL261" s="294"/>
      <c r="AM261" s="294"/>
      <c r="AN261" s="294"/>
      <c r="AO261" s="294"/>
      <c r="AP261" s="294"/>
      <c r="AQ261" s="294"/>
      <c r="AR261" s="294"/>
    </row>
    <row r="262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  <c r="AO262" s="294"/>
      <c r="AP262" s="294"/>
      <c r="AQ262" s="294"/>
      <c r="AR262" s="294"/>
    </row>
    <row r="263">
      <c r="A263" s="294"/>
      <c r="B263" s="294"/>
      <c r="C263" s="294"/>
      <c r="D263" s="294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4"/>
      <c r="AL263" s="294"/>
      <c r="AM263" s="294"/>
      <c r="AN263" s="294"/>
      <c r="AO263" s="294"/>
      <c r="AP263" s="294"/>
      <c r="AQ263" s="294"/>
      <c r="AR263" s="294"/>
    </row>
    <row r="264">
      <c r="A264" s="294"/>
      <c r="B264" s="294"/>
      <c r="C264" s="294"/>
      <c r="D264" s="294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  <c r="AO264" s="294"/>
      <c r="AP264" s="294"/>
      <c r="AQ264" s="294"/>
      <c r="AR264" s="294"/>
    </row>
    <row r="265">
      <c r="A265" s="294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  <c r="AO265" s="294"/>
      <c r="AP265" s="294"/>
      <c r="AQ265" s="294"/>
      <c r="AR265" s="294"/>
    </row>
    <row r="266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  <c r="AO266" s="294"/>
      <c r="AP266" s="294"/>
      <c r="AQ266" s="294"/>
      <c r="AR266" s="294"/>
    </row>
    <row r="267">
      <c r="A267" s="294"/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4"/>
      <c r="AK267" s="294"/>
      <c r="AL267" s="294"/>
      <c r="AM267" s="294"/>
      <c r="AN267" s="294"/>
      <c r="AO267" s="294"/>
      <c r="AP267" s="294"/>
      <c r="AQ267" s="294"/>
      <c r="AR267" s="294"/>
    </row>
    <row r="268">
      <c r="A268" s="294"/>
      <c r="B268" s="294"/>
      <c r="C268" s="294"/>
      <c r="D268" s="294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4"/>
      <c r="AL268" s="294"/>
      <c r="AM268" s="294"/>
      <c r="AN268" s="294"/>
      <c r="AO268" s="294"/>
      <c r="AP268" s="294"/>
      <c r="AQ268" s="294"/>
      <c r="AR268" s="294"/>
    </row>
    <row r="269">
      <c r="A269" s="294"/>
      <c r="B269" s="294"/>
      <c r="C269" s="294"/>
      <c r="D269" s="294"/>
      <c r="E269" s="294"/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  <c r="AC269" s="294"/>
      <c r="AD269" s="294"/>
      <c r="AE269" s="294"/>
      <c r="AF269" s="294"/>
      <c r="AG269" s="294"/>
      <c r="AH269" s="294"/>
      <c r="AI269" s="294"/>
      <c r="AJ269" s="294"/>
      <c r="AK269" s="294"/>
      <c r="AL269" s="294"/>
      <c r="AM269" s="294"/>
      <c r="AN269" s="294"/>
      <c r="AO269" s="294"/>
      <c r="AP269" s="294"/>
      <c r="AQ269" s="294"/>
      <c r="AR269" s="294"/>
    </row>
    <row r="270">
      <c r="A270" s="294"/>
      <c r="B270" s="294"/>
      <c r="C270" s="294"/>
      <c r="D270" s="294"/>
      <c r="E270" s="294"/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  <c r="AC270" s="294"/>
      <c r="AD270" s="294"/>
      <c r="AE270" s="294"/>
      <c r="AF270" s="294"/>
      <c r="AG270" s="294"/>
      <c r="AH270" s="294"/>
      <c r="AI270" s="294"/>
      <c r="AJ270" s="294"/>
      <c r="AK270" s="294"/>
      <c r="AL270" s="294"/>
      <c r="AM270" s="294"/>
      <c r="AN270" s="294"/>
      <c r="AO270" s="294"/>
      <c r="AP270" s="294"/>
      <c r="AQ270" s="294"/>
      <c r="AR270" s="294"/>
    </row>
    <row r="271">
      <c r="A271" s="294"/>
      <c r="B271" s="294"/>
      <c r="C271" s="294"/>
      <c r="D271" s="294"/>
      <c r="E271" s="294"/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4"/>
      <c r="AK271" s="294"/>
      <c r="AL271" s="294"/>
      <c r="AM271" s="294"/>
      <c r="AN271" s="294"/>
      <c r="AO271" s="294"/>
      <c r="AP271" s="294"/>
      <c r="AQ271" s="294"/>
      <c r="AR271" s="294"/>
    </row>
    <row r="27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4"/>
      <c r="AK272" s="294"/>
      <c r="AL272" s="294"/>
      <c r="AM272" s="294"/>
      <c r="AN272" s="294"/>
      <c r="AO272" s="294"/>
      <c r="AP272" s="294"/>
      <c r="AQ272" s="294"/>
      <c r="AR272" s="294"/>
    </row>
    <row r="273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  <c r="AC273" s="294"/>
      <c r="AD273" s="294"/>
      <c r="AE273" s="294"/>
      <c r="AF273" s="294"/>
      <c r="AG273" s="294"/>
      <c r="AH273" s="294"/>
      <c r="AI273" s="294"/>
      <c r="AJ273" s="294"/>
      <c r="AK273" s="294"/>
      <c r="AL273" s="294"/>
      <c r="AM273" s="294"/>
      <c r="AN273" s="294"/>
      <c r="AO273" s="294"/>
      <c r="AP273" s="294"/>
      <c r="AQ273" s="294"/>
      <c r="AR273" s="294"/>
    </row>
    <row r="274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  <c r="AC274" s="294"/>
      <c r="AD274" s="294"/>
      <c r="AE274" s="294"/>
      <c r="AF274" s="294"/>
      <c r="AG274" s="294"/>
      <c r="AH274" s="294"/>
      <c r="AI274" s="294"/>
      <c r="AJ274" s="294"/>
      <c r="AK274" s="294"/>
      <c r="AL274" s="294"/>
      <c r="AM274" s="294"/>
      <c r="AN274" s="294"/>
      <c r="AO274" s="294"/>
      <c r="AP274" s="294"/>
      <c r="AQ274" s="294"/>
      <c r="AR274" s="294"/>
    </row>
    <row r="275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  <c r="AC275" s="294"/>
      <c r="AD275" s="294"/>
      <c r="AE275" s="294"/>
      <c r="AF275" s="294"/>
      <c r="AG275" s="294"/>
      <c r="AH275" s="294"/>
      <c r="AI275" s="294"/>
      <c r="AJ275" s="294"/>
      <c r="AK275" s="294"/>
      <c r="AL275" s="294"/>
      <c r="AM275" s="294"/>
      <c r="AN275" s="294"/>
      <c r="AO275" s="294"/>
      <c r="AP275" s="294"/>
      <c r="AQ275" s="294"/>
      <c r="AR275" s="294"/>
    </row>
    <row r="276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  <c r="AC276" s="294"/>
      <c r="AD276" s="294"/>
      <c r="AE276" s="294"/>
      <c r="AF276" s="294"/>
      <c r="AG276" s="294"/>
      <c r="AH276" s="294"/>
      <c r="AI276" s="294"/>
      <c r="AJ276" s="294"/>
      <c r="AK276" s="294"/>
      <c r="AL276" s="294"/>
      <c r="AM276" s="294"/>
      <c r="AN276" s="294"/>
      <c r="AO276" s="294"/>
      <c r="AP276" s="294"/>
      <c r="AQ276" s="294"/>
      <c r="AR276" s="294"/>
    </row>
    <row r="277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4"/>
      <c r="AK277" s="294"/>
      <c r="AL277" s="294"/>
      <c r="AM277" s="294"/>
      <c r="AN277" s="294"/>
      <c r="AO277" s="294"/>
      <c r="AP277" s="294"/>
      <c r="AQ277" s="294"/>
      <c r="AR277" s="294"/>
    </row>
    <row r="278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4"/>
      <c r="AK278" s="294"/>
      <c r="AL278" s="294"/>
      <c r="AM278" s="294"/>
      <c r="AN278" s="294"/>
      <c r="AO278" s="294"/>
      <c r="AP278" s="294"/>
      <c r="AQ278" s="294"/>
      <c r="AR278" s="294"/>
    </row>
    <row r="279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  <c r="AC279" s="294"/>
      <c r="AD279" s="294"/>
      <c r="AE279" s="294"/>
      <c r="AF279" s="294"/>
      <c r="AG279" s="294"/>
      <c r="AH279" s="294"/>
      <c r="AI279" s="294"/>
      <c r="AJ279" s="294"/>
      <c r="AK279" s="294"/>
      <c r="AL279" s="294"/>
      <c r="AM279" s="294"/>
      <c r="AN279" s="294"/>
      <c r="AO279" s="294"/>
      <c r="AP279" s="294"/>
      <c r="AQ279" s="294"/>
      <c r="AR279" s="294"/>
    </row>
    <row r="280">
      <c r="A280" s="294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4"/>
      <c r="AK280" s="294"/>
      <c r="AL280" s="294"/>
      <c r="AM280" s="294"/>
      <c r="AN280" s="294"/>
      <c r="AO280" s="294"/>
      <c r="AP280" s="294"/>
      <c r="AQ280" s="294"/>
      <c r="AR280" s="294"/>
    </row>
    <row r="281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  <c r="AC281" s="294"/>
      <c r="AD281" s="294"/>
      <c r="AE281" s="294"/>
      <c r="AF281" s="294"/>
      <c r="AG281" s="294"/>
      <c r="AH281" s="294"/>
      <c r="AI281" s="294"/>
      <c r="AJ281" s="294"/>
      <c r="AK281" s="294"/>
      <c r="AL281" s="294"/>
      <c r="AM281" s="294"/>
      <c r="AN281" s="294"/>
      <c r="AO281" s="294"/>
      <c r="AP281" s="294"/>
      <c r="AQ281" s="294"/>
      <c r="AR281" s="294"/>
    </row>
    <row r="28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  <c r="AC282" s="294"/>
      <c r="AD282" s="294"/>
      <c r="AE282" s="294"/>
      <c r="AF282" s="294"/>
      <c r="AG282" s="294"/>
      <c r="AH282" s="294"/>
      <c r="AI282" s="294"/>
      <c r="AJ282" s="294"/>
      <c r="AK282" s="294"/>
      <c r="AL282" s="294"/>
      <c r="AM282" s="294"/>
      <c r="AN282" s="294"/>
      <c r="AO282" s="294"/>
      <c r="AP282" s="294"/>
      <c r="AQ282" s="294"/>
      <c r="AR282" s="294"/>
    </row>
    <row r="283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94"/>
      <c r="AG283" s="294"/>
      <c r="AH283" s="294"/>
      <c r="AI283" s="294"/>
      <c r="AJ283" s="294"/>
      <c r="AK283" s="294"/>
      <c r="AL283" s="294"/>
      <c r="AM283" s="294"/>
      <c r="AN283" s="294"/>
      <c r="AO283" s="294"/>
      <c r="AP283" s="294"/>
      <c r="AQ283" s="294"/>
      <c r="AR283" s="294"/>
    </row>
    <row r="284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  <c r="AN284" s="294"/>
      <c r="AO284" s="294"/>
      <c r="AP284" s="294"/>
      <c r="AQ284" s="294"/>
      <c r="AR284" s="294"/>
    </row>
    <row r="285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294"/>
      <c r="AN285" s="294"/>
      <c r="AO285" s="294"/>
      <c r="AP285" s="294"/>
      <c r="AQ285" s="294"/>
      <c r="AR285" s="294"/>
    </row>
    <row r="286">
      <c r="A286" s="294"/>
      <c r="B286" s="294"/>
      <c r="C286" s="294"/>
      <c r="D286" s="294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  <c r="AN286" s="294"/>
      <c r="AO286" s="294"/>
      <c r="AP286" s="294"/>
      <c r="AQ286" s="294"/>
      <c r="AR286" s="294"/>
    </row>
    <row r="287">
      <c r="A287" s="294"/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4"/>
      <c r="AL287" s="294"/>
      <c r="AM287" s="294"/>
      <c r="AN287" s="294"/>
      <c r="AO287" s="294"/>
      <c r="AP287" s="294"/>
      <c r="AQ287" s="294"/>
      <c r="AR287" s="294"/>
    </row>
    <row r="288">
      <c r="A288" s="294"/>
      <c r="B288" s="294"/>
      <c r="C288" s="294"/>
      <c r="D288" s="29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4"/>
      <c r="AL288" s="294"/>
      <c r="AM288" s="294"/>
      <c r="AN288" s="294"/>
      <c r="AO288" s="294"/>
      <c r="AP288" s="294"/>
      <c r="AQ288" s="294"/>
      <c r="AR288" s="294"/>
    </row>
    <row r="289">
      <c r="A289" s="294"/>
      <c r="B289" s="294"/>
      <c r="C289" s="294"/>
      <c r="D289" s="294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4"/>
      <c r="AL289" s="294"/>
      <c r="AM289" s="294"/>
      <c r="AN289" s="294"/>
      <c r="AO289" s="294"/>
      <c r="AP289" s="294"/>
      <c r="AQ289" s="294"/>
      <c r="AR289" s="294"/>
    </row>
    <row r="290">
      <c r="A290" s="294"/>
      <c r="B290" s="294"/>
      <c r="C290" s="294"/>
      <c r="D290" s="294"/>
      <c r="E290" s="294"/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294"/>
      <c r="AQ290" s="294"/>
      <c r="AR290" s="294"/>
    </row>
    <row r="291">
      <c r="A291" s="294"/>
      <c r="B291" s="294"/>
      <c r="C291" s="294"/>
      <c r="D291" s="294"/>
      <c r="E291" s="294"/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  <c r="AO291" s="294"/>
      <c r="AP291" s="294"/>
      <c r="AQ291" s="294"/>
      <c r="AR291" s="294"/>
    </row>
    <row r="292">
      <c r="A292" s="294"/>
      <c r="B292" s="294"/>
      <c r="C292" s="294"/>
      <c r="D292" s="294"/>
      <c r="E292" s="294"/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  <c r="AN292" s="294"/>
      <c r="AO292" s="294"/>
      <c r="AP292" s="294"/>
      <c r="AQ292" s="294"/>
      <c r="AR292" s="294"/>
    </row>
    <row r="293">
      <c r="A293" s="294"/>
      <c r="B293" s="294"/>
      <c r="C293" s="294"/>
      <c r="D293" s="294"/>
      <c r="E293" s="294"/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  <c r="AO293" s="294"/>
      <c r="AP293" s="294"/>
      <c r="AQ293" s="294"/>
      <c r="AR293" s="294"/>
    </row>
    <row r="294">
      <c r="A294" s="294"/>
      <c r="B294" s="294"/>
      <c r="C294" s="294"/>
      <c r="D294" s="294"/>
      <c r="E294" s="294"/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  <c r="AN294" s="294"/>
      <c r="AO294" s="294"/>
      <c r="AP294" s="294"/>
      <c r="AQ294" s="294"/>
      <c r="AR294" s="294"/>
    </row>
    <row r="295">
      <c r="A295" s="294"/>
      <c r="B295" s="294"/>
      <c r="C295" s="294"/>
      <c r="D295" s="294"/>
      <c r="E295" s="294"/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4"/>
      <c r="AL295" s="294"/>
      <c r="AM295" s="294"/>
      <c r="AN295" s="294"/>
      <c r="AO295" s="294"/>
      <c r="AP295" s="294"/>
      <c r="AQ295" s="294"/>
      <c r="AR295" s="294"/>
    </row>
    <row r="296">
      <c r="A296" s="294"/>
      <c r="B296" s="294"/>
      <c r="C296" s="294"/>
      <c r="D296" s="294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  <c r="AN296" s="294"/>
      <c r="AO296" s="294"/>
      <c r="AP296" s="294"/>
      <c r="AQ296" s="294"/>
      <c r="AR296" s="294"/>
    </row>
    <row r="297">
      <c r="A297" s="294"/>
      <c r="B297" s="294"/>
      <c r="C297" s="294"/>
      <c r="D297" s="294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  <c r="AN297" s="294"/>
      <c r="AO297" s="294"/>
      <c r="AP297" s="294"/>
      <c r="AQ297" s="294"/>
      <c r="AR297" s="294"/>
    </row>
    <row r="298">
      <c r="A298" s="294"/>
      <c r="B298" s="294"/>
      <c r="C298" s="294"/>
      <c r="D298" s="294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4"/>
      <c r="AK298" s="294"/>
      <c r="AL298" s="294"/>
      <c r="AM298" s="294"/>
      <c r="AN298" s="294"/>
      <c r="AO298" s="294"/>
      <c r="AP298" s="294"/>
      <c r="AQ298" s="294"/>
      <c r="AR298" s="294"/>
    </row>
    <row r="299">
      <c r="A299" s="294"/>
      <c r="B299" s="294"/>
      <c r="C299" s="294"/>
      <c r="D299" s="294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4"/>
      <c r="AK299" s="294"/>
      <c r="AL299" s="294"/>
      <c r="AM299" s="294"/>
      <c r="AN299" s="294"/>
      <c r="AO299" s="294"/>
      <c r="AP299" s="294"/>
      <c r="AQ299" s="294"/>
      <c r="AR299" s="294"/>
    </row>
    <row r="300">
      <c r="A300" s="294"/>
      <c r="B300" s="294"/>
      <c r="C300" s="294"/>
      <c r="D300" s="294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4"/>
      <c r="AL300" s="294"/>
      <c r="AM300" s="294"/>
      <c r="AN300" s="294"/>
      <c r="AO300" s="294"/>
      <c r="AP300" s="294"/>
      <c r="AQ300" s="294"/>
      <c r="AR300" s="294"/>
    </row>
    <row r="301">
      <c r="A301" s="294"/>
      <c r="B301" s="294"/>
      <c r="C301" s="294"/>
      <c r="D301" s="294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4"/>
      <c r="AL301" s="294"/>
      <c r="AM301" s="294"/>
      <c r="AN301" s="294"/>
      <c r="AO301" s="294"/>
      <c r="AP301" s="294"/>
      <c r="AQ301" s="294"/>
      <c r="AR301" s="294"/>
    </row>
    <row r="302">
      <c r="A302" s="294"/>
      <c r="B302" s="294"/>
      <c r="C302" s="294"/>
      <c r="D302" s="294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4"/>
      <c r="AL302" s="294"/>
      <c r="AM302" s="294"/>
      <c r="AN302" s="294"/>
      <c r="AO302" s="294"/>
      <c r="AP302" s="294"/>
      <c r="AQ302" s="294"/>
      <c r="AR302" s="294"/>
    </row>
    <row r="303">
      <c r="A303" s="294"/>
      <c r="B303" s="294"/>
      <c r="C303" s="294"/>
      <c r="D303" s="294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  <c r="AC303" s="294"/>
      <c r="AD303" s="294"/>
      <c r="AE303" s="294"/>
      <c r="AF303" s="294"/>
      <c r="AG303" s="294"/>
      <c r="AH303" s="294"/>
      <c r="AI303" s="294"/>
      <c r="AJ303" s="294"/>
      <c r="AK303" s="294"/>
      <c r="AL303" s="294"/>
      <c r="AM303" s="294"/>
      <c r="AN303" s="294"/>
      <c r="AO303" s="294"/>
      <c r="AP303" s="294"/>
      <c r="AQ303" s="294"/>
      <c r="AR303" s="294"/>
    </row>
    <row r="304">
      <c r="A304" s="294"/>
      <c r="B304" s="294"/>
      <c r="C304" s="294"/>
      <c r="D304" s="294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  <c r="AC304" s="294"/>
      <c r="AD304" s="294"/>
      <c r="AE304" s="294"/>
      <c r="AF304" s="294"/>
      <c r="AG304" s="294"/>
      <c r="AH304" s="294"/>
      <c r="AI304" s="294"/>
      <c r="AJ304" s="294"/>
      <c r="AK304" s="294"/>
      <c r="AL304" s="294"/>
      <c r="AM304" s="294"/>
      <c r="AN304" s="294"/>
      <c r="AO304" s="294"/>
      <c r="AP304" s="294"/>
      <c r="AQ304" s="294"/>
      <c r="AR304" s="294"/>
    </row>
    <row r="305">
      <c r="A305" s="294"/>
      <c r="B305" s="294"/>
      <c r="C305" s="294"/>
      <c r="D305" s="294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4"/>
      <c r="AK305" s="294"/>
      <c r="AL305" s="294"/>
      <c r="AM305" s="294"/>
      <c r="AN305" s="294"/>
      <c r="AO305" s="294"/>
      <c r="AP305" s="294"/>
      <c r="AQ305" s="294"/>
      <c r="AR305" s="294"/>
    </row>
    <row r="306">
      <c r="A306" s="294"/>
      <c r="B306" s="294"/>
      <c r="C306" s="294"/>
      <c r="D306" s="294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  <c r="AD306" s="294"/>
      <c r="AE306" s="294"/>
      <c r="AF306" s="294"/>
      <c r="AG306" s="294"/>
      <c r="AH306" s="294"/>
      <c r="AI306" s="294"/>
      <c r="AJ306" s="294"/>
      <c r="AK306" s="294"/>
      <c r="AL306" s="294"/>
      <c r="AM306" s="294"/>
      <c r="AN306" s="294"/>
      <c r="AO306" s="294"/>
      <c r="AP306" s="294"/>
      <c r="AQ306" s="294"/>
      <c r="AR306" s="294"/>
    </row>
    <row r="307">
      <c r="A307" s="294"/>
      <c r="B307" s="294"/>
      <c r="C307" s="294"/>
      <c r="D307" s="294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  <c r="AC307" s="294"/>
      <c r="AD307" s="294"/>
      <c r="AE307" s="294"/>
      <c r="AF307" s="294"/>
      <c r="AG307" s="294"/>
      <c r="AH307" s="294"/>
      <c r="AI307" s="294"/>
      <c r="AJ307" s="294"/>
      <c r="AK307" s="294"/>
      <c r="AL307" s="294"/>
      <c r="AM307" s="294"/>
      <c r="AN307" s="294"/>
      <c r="AO307" s="294"/>
      <c r="AP307" s="294"/>
      <c r="AQ307" s="294"/>
      <c r="AR307" s="294"/>
    </row>
    <row r="308">
      <c r="A308" s="294"/>
      <c r="B308" s="294"/>
      <c r="C308" s="294"/>
      <c r="D308" s="294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  <c r="AC308" s="294"/>
      <c r="AD308" s="294"/>
      <c r="AE308" s="294"/>
      <c r="AF308" s="294"/>
      <c r="AG308" s="294"/>
      <c r="AH308" s="294"/>
      <c r="AI308" s="294"/>
      <c r="AJ308" s="294"/>
      <c r="AK308" s="294"/>
      <c r="AL308" s="294"/>
      <c r="AM308" s="294"/>
      <c r="AN308" s="294"/>
      <c r="AO308" s="294"/>
      <c r="AP308" s="294"/>
      <c r="AQ308" s="294"/>
      <c r="AR308" s="294"/>
    </row>
    <row r="309">
      <c r="A309" s="294"/>
      <c r="B309" s="294"/>
      <c r="C309" s="294"/>
      <c r="D309" s="294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4"/>
      <c r="AK309" s="294"/>
      <c r="AL309" s="294"/>
      <c r="AM309" s="294"/>
      <c r="AN309" s="294"/>
      <c r="AO309" s="294"/>
      <c r="AP309" s="294"/>
      <c r="AQ309" s="294"/>
      <c r="AR309" s="294"/>
    </row>
    <row r="310">
      <c r="A310" s="294"/>
      <c r="B310" s="294"/>
      <c r="C310" s="294"/>
      <c r="D310" s="294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4"/>
      <c r="AK310" s="294"/>
      <c r="AL310" s="294"/>
      <c r="AM310" s="294"/>
      <c r="AN310" s="294"/>
      <c r="AO310" s="294"/>
      <c r="AP310" s="294"/>
      <c r="AQ310" s="294"/>
      <c r="AR310" s="294"/>
    </row>
    <row r="311">
      <c r="A311" s="294"/>
      <c r="B311" s="294"/>
      <c r="C311" s="294"/>
      <c r="D311" s="294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  <c r="AC311" s="294"/>
      <c r="AD311" s="294"/>
      <c r="AE311" s="294"/>
      <c r="AF311" s="294"/>
      <c r="AG311" s="294"/>
      <c r="AH311" s="294"/>
      <c r="AI311" s="294"/>
      <c r="AJ311" s="294"/>
      <c r="AK311" s="294"/>
      <c r="AL311" s="294"/>
      <c r="AM311" s="294"/>
      <c r="AN311" s="294"/>
      <c r="AO311" s="294"/>
      <c r="AP311" s="294"/>
      <c r="AQ311" s="294"/>
      <c r="AR311" s="294"/>
    </row>
    <row r="312">
      <c r="A312" s="294"/>
      <c r="B312" s="294"/>
      <c r="C312" s="294"/>
      <c r="D312" s="294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  <c r="AC312" s="294"/>
      <c r="AD312" s="294"/>
      <c r="AE312" s="294"/>
      <c r="AF312" s="294"/>
      <c r="AG312" s="294"/>
      <c r="AH312" s="294"/>
      <c r="AI312" s="294"/>
      <c r="AJ312" s="294"/>
      <c r="AK312" s="294"/>
      <c r="AL312" s="294"/>
      <c r="AM312" s="294"/>
      <c r="AN312" s="294"/>
      <c r="AO312" s="294"/>
      <c r="AP312" s="294"/>
      <c r="AQ312" s="294"/>
      <c r="AR312" s="294"/>
    </row>
    <row r="313">
      <c r="A313" s="294"/>
      <c r="B313" s="294"/>
      <c r="C313" s="294"/>
      <c r="D313" s="294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  <c r="AC313" s="294"/>
      <c r="AD313" s="294"/>
      <c r="AE313" s="294"/>
      <c r="AF313" s="294"/>
      <c r="AG313" s="294"/>
      <c r="AH313" s="294"/>
      <c r="AI313" s="294"/>
      <c r="AJ313" s="294"/>
      <c r="AK313" s="294"/>
      <c r="AL313" s="294"/>
      <c r="AM313" s="294"/>
      <c r="AN313" s="294"/>
      <c r="AO313" s="294"/>
      <c r="AP313" s="294"/>
      <c r="AQ313" s="294"/>
      <c r="AR313" s="294"/>
    </row>
    <row r="314">
      <c r="A314" s="294"/>
      <c r="B314" s="294"/>
      <c r="C314" s="294"/>
      <c r="D314" s="294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  <c r="AC314" s="294"/>
      <c r="AD314" s="294"/>
      <c r="AE314" s="294"/>
      <c r="AF314" s="294"/>
      <c r="AG314" s="294"/>
      <c r="AH314" s="294"/>
      <c r="AI314" s="294"/>
      <c r="AJ314" s="294"/>
      <c r="AK314" s="294"/>
      <c r="AL314" s="294"/>
      <c r="AM314" s="294"/>
      <c r="AN314" s="294"/>
      <c r="AO314" s="294"/>
      <c r="AP314" s="294"/>
      <c r="AQ314" s="294"/>
      <c r="AR314" s="294"/>
    </row>
    <row r="315">
      <c r="A315" s="294"/>
      <c r="B315" s="294"/>
      <c r="C315" s="294"/>
      <c r="D315" s="294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  <c r="AC315" s="294"/>
      <c r="AD315" s="294"/>
      <c r="AE315" s="294"/>
      <c r="AF315" s="294"/>
      <c r="AG315" s="294"/>
      <c r="AH315" s="294"/>
      <c r="AI315" s="294"/>
      <c r="AJ315" s="294"/>
      <c r="AK315" s="294"/>
      <c r="AL315" s="294"/>
      <c r="AM315" s="294"/>
      <c r="AN315" s="294"/>
      <c r="AO315" s="294"/>
      <c r="AP315" s="294"/>
      <c r="AQ315" s="294"/>
      <c r="AR315" s="294"/>
    </row>
    <row r="316">
      <c r="A316" s="294"/>
      <c r="B316" s="294"/>
      <c r="C316" s="294"/>
      <c r="D316" s="294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4"/>
      <c r="AK316" s="294"/>
      <c r="AL316" s="294"/>
      <c r="AM316" s="294"/>
      <c r="AN316" s="294"/>
      <c r="AO316" s="294"/>
      <c r="AP316" s="294"/>
      <c r="AQ316" s="294"/>
      <c r="AR316" s="294"/>
    </row>
    <row r="317">
      <c r="A317" s="294"/>
      <c r="B317" s="294"/>
      <c r="C317" s="294"/>
      <c r="D317" s="294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4"/>
      <c r="AK317" s="294"/>
      <c r="AL317" s="294"/>
      <c r="AM317" s="294"/>
      <c r="AN317" s="294"/>
      <c r="AO317" s="294"/>
      <c r="AP317" s="294"/>
      <c r="AQ317" s="294"/>
      <c r="AR317" s="294"/>
    </row>
    <row r="318">
      <c r="A318" s="294"/>
      <c r="B318" s="294"/>
      <c r="C318" s="294"/>
      <c r="D318" s="29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4"/>
      <c r="AK318" s="294"/>
      <c r="AL318" s="294"/>
      <c r="AM318" s="294"/>
      <c r="AN318" s="294"/>
      <c r="AO318" s="294"/>
      <c r="AP318" s="294"/>
      <c r="AQ318" s="294"/>
      <c r="AR318" s="294"/>
    </row>
    <row r="319">
      <c r="A319" s="294"/>
      <c r="B319" s="294"/>
      <c r="C319" s="294"/>
      <c r="D319" s="294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  <c r="AC319" s="294"/>
      <c r="AD319" s="294"/>
      <c r="AE319" s="294"/>
      <c r="AF319" s="294"/>
      <c r="AG319" s="294"/>
      <c r="AH319" s="294"/>
      <c r="AI319" s="294"/>
      <c r="AJ319" s="294"/>
      <c r="AK319" s="294"/>
      <c r="AL319" s="294"/>
      <c r="AM319" s="294"/>
      <c r="AN319" s="294"/>
      <c r="AO319" s="294"/>
      <c r="AP319" s="294"/>
      <c r="AQ319" s="294"/>
      <c r="AR319" s="294"/>
    </row>
    <row r="320">
      <c r="A320" s="294"/>
      <c r="B320" s="294"/>
      <c r="C320" s="294"/>
      <c r="D320" s="294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  <c r="AC320" s="294"/>
      <c r="AD320" s="294"/>
      <c r="AE320" s="294"/>
      <c r="AF320" s="294"/>
      <c r="AG320" s="294"/>
      <c r="AH320" s="294"/>
      <c r="AI320" s="294"/>
      <c r="AJ320" s="294"/>
      <c r="AK320" s="294"/>
      <c r="AL320" s="294"/>
      <c r="AM320" s="294"/>
      <c r="AN320" s="294"/>
      <c r="AO320" s="294"/>
      <c r="AP320" s="294"/>
      <c r="AQ320" s="294"/>
      <c r="AR320" s="294"/>
    </row>
    <row r="321">
      <c r="A321" s="294"/>
      <c r="B321" s="294"/>
      <c r="C321" s="294"/>
      <c r="D321" s="294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  <c r="AC321" s="294"/>
      <c r="AD321" s="294"/>
      <c r="AE321" s="294"/>
      <c r="AF321" s="294"/>
      <c r="AG321" s="294"/>
      <c r="AH321" s="294"/>
      <c r="AI321" s="294"/>
      <c r="AJ321" s="294"/>
      <c r="AK321" s="294"/>
      <c r="AL321" s="294"/>
      <c r="AM321" s="294"/>
      <c r="AN321" s="294"/>
      <c r="AO321" s="294"/>
      <c r="AP321" s="294"/>
      <c r="AQ321" s="294"/>
      <c r="AR321" s="294"/>
    </row>
    <row r="322">
      <c r="A322" s="294"/>
      <c r="B322" s="294"/>
      <c r="C322" s="294"/>
      <c r="D322" s="294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  <c r="AC322" s="294"/>
      <c r="AD322" s="294"/>
      <c r="AE322" s="294"/>
      <c r="AF322" s="294"/>
      <c r="AG322" s="294"/>
      <c r="AH322" s="294"/>
      <c r="AI322" s="294"/>
      <c r="AJ322" s="294"/>
      <c r="AK322" s="294"/>
      <c r="AL322" s="294"/>
      <c r="AM322" s="294"/>
      <c r="AN322" s="294"/>
      <c r="AO322" s="294"/>
      <c r="AP322" s="294"/>
      <c r="AQ322" s="294"/>
      <c r="AR322" s="294"/>
    </row>
    <row r="323">
      <c r="A323" s="294"/>
      <c r="B323" s="294"/>
      <c r="C323" s="294"/>
      <c r="D323" s="294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  <c r="AC323" s="294"/>
      <c r="AD323" s="294"/>
      <c r="AE323" s="294"/>
      <c r="AF323" s="294"/>
      <c r="AG323" s="294"/>
      <c r="AH323" s="294"/>
      <c r="AI323" s="294"/>
      <c r="AJ323" s="294"/>
      <c r="AK323" s="294"/>
      <c r="AL323" s="294"/>
      <c r="AM323" s="294"/>
      <c r="AN323" s="294"/>
      <c r="AO323" s="294"/>
      <c r="AP323" s="294"/>
      <c r="AQ323" s="294"/>
      <c r="AR323" s="294"/>
    </row>
    <row r="324">
      <c r="A324" s="294"/>
      <c r="B324" s="294"/>
      <c r="C324" s="294"/>
      <c r="D324" s="294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4"/>
      <c r="AK324" s="294"/>
      <c r="AL324" s="294"/>
      <c r="AM324" s="294"/>
      <c r="AN324" s="294"/>
      <c r="AO324" s="294"/>
      <c r="AP324" s="294"/>
      <c r="AQ324" s="294"/>
      <c r="AR324" s="294"/>
    </row>
    <row r="325">
      <c r="A325" s="294"/>
      <c r="B325" s="294"/>
      <c r="C325" s="294"/>
      <c r="D325" s="294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  <c r="AC325" s="294"/>
      <c r="AD325" s="294"/>
      <c r="AE325" s="294"/>
      <c r="AF325" s="294"/>
      <c r="AG325" s="294"/>
      <c r="AH325" s="294"/>
      <c r="AI325" s="294"/>
      <c r="AJ325" s="294"/>
      <c r="AK325" s="294"/>
      <c r="AL325" s="294"/>
      <c r="AM325" s="294"/>
      <c r="AN325" s="294"/>
      <c r="AO325" s="294"/>
      <c r="AP325" s="294"/>
      <c r="AQ325" s="294"/>
      <c r="AR325" s="294"/>
    </row>
    <row r="326">
      <c r="A326" s="294"/>
      <c r="B326" s="294"/>
      <c r="C326" s="294"/>
      <c r="D326" s="294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  <c r="AC326" s="294"/>
      <c r="AD326" s="294"/>
      <c r="AE326" s="294"/>
      <c r="AF326" s="294"/>
      <c r="AG326" s="294"/>
      <c r="AH326" s="294"/>
      <c r="AI326" s="294"/>
      <c r="AJ326" s="294"/>
      <c r="AK326" s="294"/>
      <c r="AL326" s="294"/>
      <c r="AM326" s="294"/>
      <c r="AN326" s="294"/>
      <c r="AO326" s="294"/>
      <c r="AP326" s="294"/>
      <c r="AQ326" s="294"/>
      <c r="AR326" s="294"/>
    </row>
    <row r="327">
      <c r="A327" s="294"/>
      <c r="B327" s="294"/>
      <c r="C327" s="294"/>
      <c r="D327" s="294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  <c r="AC327" s="294"/>
      <c r="AD327" s="294"/>
      <c r="AE327" s="294"/>
      <c r="AF327" s="294"/>
      <c r="AG327" s="294"/>
      <c r="AH327" s="294"/>
      <c r="AI327" s="294"/>
      <c r="AJ327" s="294"/>
      <c r="AK327" s="294"/>
      <c r="AL327" s="294"/>
      <c r="AM327" s="294"/>
      <c r="AN327" s="294"/>
      <c r="AO327" s="294"/>
      <c r="AP327" s="294"/>
      <c r="AQ327" s="294"/>
      <c r="AR327" s="294"/>
    </row>
    <row r="328">
      <c r="A328" s="294"/>
      <c r="B328" s="294"/>
      <c r="C328" s="294"/>
      <c r="D328" s="294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4"/>
      <c r="AK328" s="294"/>
      <c r="AL328" s="294"/>
      <c r="AM328" s="294"/>
      <c r="AN328" s="294"/>
      <c r="AO328" s="294"/>
      <c r="AP328" s="294"/>
      <c r="AQ328" s="294"/>
      <c r="AR328" s="294"/>
    </row>
    <row r="329">
      <c r="A329" s="294"/>
      <c r="B329" s="294"/>
      <c r="C329" s="294"/>
      <c r="D329" s="294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  <c r="AC329" s="294"/>
      <c r="AD329" s="294"/>
      <c r="AE329" s="294"/>
      <c r="AF329" s="294"/>
      <c r="AG329" s="294"/>
      <c r="AH329" s="294"/>
      <c r="AI329" s="294"/>
      <c r="AJ329" s="294"/>
      <c r="AK329" s="294"/>
      <c r="AL329" s="294"/>
      <c r="AM329" s="294"/>
      <c r="AN329" s="294"/>
      <c r="AO329" s="294"/>
      <c r="AP329" s="294"/>
      <c r="AQ329" s="294"/>
      <c r="AR329" s="294"/>
    </row>
    <row r="330">
      <c r="A330" s="294"/>
      <c r="B330" s="294"/>
      <c r="C330" s="294"/>
      <c r="D330" s="294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  <c r="AC330" s="294"/>
      <c r="AD330" s="294"/>
      <c r="AE330" s="294"/>
      <c r="AF330" s="294"/>
      <c r="AG330" s="294"/>
      <c r="AH330" s="294"/>
      <c r="AI330" s="294"/>
      <c r="AJ330" s="294"/>
      <c r="AK330" s="294"/>
      <c r="AL330" s="294"/>
      <c r="AM330" s="294"/>
      <c r="AN330" s="294"/>
      <c r="AO330" s="294"/>
      <c r="AP330" s="294"/>
      <c r="AQ330" s="294"/>
      <c r="AR330" s="294"/>
    </row>
    <row r="331">
      <c r="A331" s="294"/>
      <c r="B331" s="294"/>
      <c r="C331" s="294"/>
      <c r="D331" s="294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  <c r="AC331" s="294"/>
      <c r="AD331" s="294"/>
      <c r="AE331" s="294"/>
      <c r="AF331" s="294"/>
      <c r="AG331" s="294"/>
      <c r="AH331" s="294"/>
      <c r="AI331" s="294"/>
      <c r="AJ331" s="294"/>
      <c r="AK331" s="294"/>
      <c r="AL331" s="294"/>
      <c r="AM331" s="294"/>
      <c r="AN331" s="294"/>
      <c r="AO331" s="294"/>
      <c r="AP331" s="294"/>
      <c r="AQ331" s="294"/>
      <c r="AR331" s="294"/>
    </row>
    <row r="332">
      <c r="A332" s="294"/>
      <c r="B332" s="294"/>
      <c r="C332" s="294"/>
      <c r="D332" s="294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  <c r="AC332" s="294"/>
      <c r="AD332" s="294"/>
      <c r="AE332" s="294"/>
      <c r="AF332" s="294"/>
      <c r="AG332" s="294"/>
      <c r="AH332" s="294"/>
      <c r="AI332" s="294"/>
      <c r="AJ332" s="294"/>
      <c r="AK332" s="294"/>
      <c r="AL332" s="294"/>
      <c r="AM332" s="294"/>
      <c r="AN332" s="294"/>
      <c r="AO332" s="294"/>
      <c r="AP332" s="294"/>
      <c r="AQ332" s="294"/>
      <c r="AR332" s="294"/>
    </row>
    <row r="333">
      <c r="A333" s="294"/>
      <c r="B333" s="294"/>
      <c r="C333" s="294"/>
      <c r="D333" s="294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  <c r="AC333" s="294"/>
      <c r="AD333" s="294"/>
      <c r="AE333" s="294"/>
      <c r="AF333" s="294"/>
      <c r="AG333" s="294"/>
      <c r="AH333" s="294"/>
      <c r="AI333" s="294"/>
      <c r="AJ333" s="294"/>
      <c r="AK333" s="294"/>
      <c r="AL333" s="294"/>
      <c r="AM333" s="294"/>
      <c r="AN333" s="294"/>
      <c r="AO333" s="294"/>
      <c r="AP333" s="294"/>
      <c r="AQ333" s="294"/>
      <c r="AR333" s="294"/>
    </row>
    <row r="334">
      <c r="A334" s="294"/>
      <c r="B334" s="294"/>
      <c r="C334" s="294"/>
      <c r="D334" s="294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  <c r="AC334" s="294"/>
      <c r="AD334" s="294"/>
      <c r="AE334" s="294"/>
      <c r="AF334" s="294"/>
      <c r="AG334" s="294"/>
      <c r="AH334" s="294"/>
      <c r="AI334" s="294"/>
      <c r="AJ334" s="294"/>
      <c r="AK334" s="294"/>
      <c r="AL334" s="294"/>
      <c r="AM334" s="294"/>
      <c r="AN334" s="294"/>
      <c r="AO334" s="294"/>
      <c r="AP334" s="294"/>
      <c r="AQ334" s="294"/>
      <c r="AR334" s="294"/>
    </row>
    <row r="335">
      <c r="A335" s="294"/>
      <c r="B335" s="294"/>
      <c r="C335" s="294"/>
      <c r="D335" s="294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  <c r="AC335" s="294"/>
      <c r="AD335" s="294"/>
      <c r="AE335" s="294"/>
      <c r="AF335" s="294"/>
      <c r="AG335" s="294"/>
      <c r="AH335" s="294"/>
      <c r="AI335" s="294"/>
      <c r="AJ335" s="294"/>
      <c r="AK335" s="294"/>
      <c r="AL335" s="294"/>
      <c r="AM335" s="294"/>
      <c r="AN335" s="294"/>
      <c r="AO335" s="294"/>
      <c r="AP335" s="294"/>
      <c r="AQ335" s="294"/>
      <c r="AR335" s="294"/>
    </row>
    <row r="336">
      <c r="A336" s="294"/>
      <c r="B336" s="294"/>
      <c r="C336" s="294"/>
      <c r="D336" s="294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  <c r="AC336" s="294"/>
      <c r="AD336" s="294"/>
      <c r="AE336" s="294"/>
      <c r="AF336" s="294"/>
      <c r="AG336" s="294"/>
      <c r="AH336" s="294"/>
      <c r="AI336" s="294"/>
      <c r="AJ336" s="294"/>
      <c r="AK336" s="294"/>
      <c r="AL336" s="294"/>
      <c r="AM336" s="294"/>
      <c r="AN336" s="294"/>
      <c r="AO336" s="294"/>
      <c r="AP336" s="294"/>
      <c r="AQ336" s="294"/>
      <c r="AR336" s="294"/>
    </row>
    <row r="337">
      <c r="A337" s="294"/>
      <c r="B337" s="294"/>
      <c r="C337" s="294"/>
      <c r="D337" s="294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  <c r="AC337" s="294"/>
      <c r="AD337" s="294"/>
      <c r="AE337" s="294"/>
      <c r="AF337" s="294"/>
      <c r="AG337" s="294"/>
      <c r="AH337" s="294"/>
      <c r="AI337" s="294"/>
      <c r="AJ337" s="294"/>
      <c r="AK337" s="294"/>
      <c r="AL337" s="294"/>
      <c r="AM337" s="294"/>
      <c r="AN337" s="294"/>
      <c r="AO337" s="294"/>
      <c r="AP337" s="294"/>
      <c r="AQ337" s="294"/>
      <c r="AR337" s="294"/>
    </row>
    <row r="338">
      <c r="A338" s="294"/>
      <c r="B338" s="294"/>
      <c r="C338" s="294"/>
      <c r="D338" s="294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  <c r="AC338" s="294"/>
      <c r="AD338" s="294"/>
      <c r="AE338" s="294"/>
      <c r="AF338" s="294"/>
      <c r="AG338" s="294"/>
      <c r="AH338" s="294"/>
      <c r="AI338" s="294"/>
      <c r="AJ338" s="294"/>
      <c r="AK338" s="294"/>
      <c r="AL338" s="294"/>
      <c r="AM338" s="294"/>
      <c r="AN338" s="294"/>
      <c r="AO338" s="294"/>
      <c r="AP338" s="294"/>
      <c r="AQ338" s="294"/>
      <c r="AR338" s="294"/>
    </row>
    <row r="339">
      <c r="A339" s="294"/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  <c r="AC339" s="294"/>
      <c r="AD339" s="294"/>
      <c r="AE339" s="294"/>
      <c r="AF339" s="294"/>
      <c r="AG339" s="294"/>
      <c r="AH339" s="294"/>
      <c r="AI339" s="294"/>
      <c r="AJ339" s="294"/>
      <c r="AK339" s="294"/>
      <c r="AL339" s="294"/>
      <c r="AM339" s="294"/>
      <c r="AN339" s="294"/>
      <c r="AO339" s="294"/>
      <c r="AP339" s="294"/>
      <c r="AQ339" s="294"/>
      <c r="AR339" s="294"/>
    </row>
    <row r="340">
      <c r="A340" s="294"/>
      <c r="B340" s="294"/>
      <c r="C340" s="294"/>
      <c r="D340" s="294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  <c r="AC340" s="294"/>
      <c r="AD340" s="294"/>
      <c r="AE340" s="294"/>
      <c r="AF340" s="294"/>
      <c r="AG340" s="294"/>
      <c r="AH340" s="294"/>
      <c r="AI340" s="294"/>
      <c r="AJ340" s="294"/>
      <c r="AK340" s="294"/>
      <c r="AL340" s="294"/>
      <c r="AM340" s="294"/>
      <c r="AN340" s="294"/>
      <c r="AO340" s="294"/>
      <c r="AP340" s="294"/>
      <c r="AQ340" s="294"/>
      <c r="AR340" s="294"/>
    </row>
    <row r="341">
      <c r="A341" s="294"/>
      <c r="B341" s="294"/>
      <c r="C341" s="294"/>
      <c r="D341" s="294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  <c r="AC341" s="294"/>
      <c r="AD341" s="294"/>
      <c r="AE341" s="294"/>
      <c r="AF341" s="294"/>
      <c r="AG341" s="294"/>
      <c r="AH341" s="294"/>
      <c r="AI341" s="294"/>
      <c r="AJ341" s="294"/>
      <c r="AK341" s="294"/>
      <c r="AL341" s="294"/>
      <c r="AM341" s="294"/>
      <c r="AN341" s="294"/>
      <c r="AO341" s="294"/>
      <c r="AP341" s="294"/>
      <c r="AQ341" s="294"/>
      <c r="AR341" s="294"/>
    </row>
    <row r="342">
      <c r="A342" s="294"/>
      <c r="B342" s="294"/>
      <c r="C342" s="294"/>
      <c r="D342" s="294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  <c r="AC342" s="294"/>
      <c r="AD342" s="294"/>
      <c r="AE342" s="294"/>
      <c r="AF342" s="294"/>
      <c r="AG342" s="294"/>
      <c r="AH342" s="294"/>
      <c r="AI342" s="294"/>
      <c r="AJ342" s="294"/>
      <c r="AK342" s="294"/>
      <c r="AL342" s="294"/>
      <c r="AM342" s="294"/>
      <c r="AN342" s="294"/>
      <c r="AO342" s="294"/>
      <c r="AP342" s="294"/>
      <c r="AQ342" s="294"/>
      <c r="AR342" s="294"/>
    </row>
    <row r="343">
      <c r="A343" s="294"/>
      <c r="B343" s="294"/>
      <c r="C343" s="294"/>
      <c r="D343" s="294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94"/>
      <c r="AD343" s="294"/>
      <c r="AE343" s="294"/>
      <c r="AF343" s="294"/>
      <c r="AG343" s="294"/>
      <c r="AH343" s="294"/>
      <c r="AI343" s="294"/>
      <c r="AJ343" s="294"/>
      <c r="AK343" s="294"/>
      <c r="AL343" s="294"/>
      <c r="AM343" s="294"/>
      <c r="AN343" s="294"/>
      <c r="AO343" s="294"/>
      <c r="AP343" s="294"/>
      <c r="AQ343" s="294"/>
      <c r="AR343" s="294"/>
    </row>
    <row r="344">
      <c r="A344" s="294"/>
      <c r="B344" s="294"/>
      <c r="C344" s="294"/>
      <c r="D344" s="294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  <c r="AC344" s="294"/>
      <c r="AD344" s="294"/>
      <c r="AE344" s="294"/>
      <c r="AF344" s="294"/>
      <c r="AG344" s="294"/>
      <c r="AH344" s="294"/>
      <c r="AI344" s="294"/>
      <c r="AJ344" s="294"/>
      <c r="AK344" s="294"/>
      <c r="AL344" s="294"/>
      <c r="AM344" s="294"/>
      <c r="AN344" s="294"/>
      <c r="AO344" s="294"/>
      <c r="AP344" s="294"/>
      <c r="AQ344" s="294"/>
      <c r="AR344" s="294"/>
    </row>
    <row r="345">
      <c r="A345" s="294"/>
      <c r="B345" s="294"/>
      <c r="C345" s="294"/>
      <c r="D345" s="294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  <c r="AC345" s="294"/>
      <c r="AD345" s="294"/>
      <c r="AE345" s="294"/>
      <c r="AF345" s="294"/>
      <c r="AG345" s="294"/>
      <c r="AH345" s="294"/>
      <c r="AI345" s="294"/>
      <c r="AJ345" s="294"/>
      <c r="AK345" s="294"/>
      <c r="AL345" s="294"/>
      <c r="AM345" s="294"/>
      <c r="AN345" s="294"/>
      <c r="AO345" s="294"/>
      <c r="AP345" s="294"/>
      <c r="AQ345" s="294"/>
      <c r="AR345" s="294"/>
    </row>
    <row r="346">
      <c r="A346" s="294"/>
      <c r="B346" s="294"/>
      <c r="C346" s="294"/>
      <c r="D346" s="294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  <c r="AC346" s="294"/>
      <c r="AD346" s="294"/>
      <c r="AE346" s="294"/>
      <c r="AF346" s="294"/>
      <c r="AG346" s="294"/>
      <c r="AH346" s="294"/>
      <c r="AI346" s="294"/>
      <c r="AJ346" s="294"/>
      <c r="AK346" s="294"/>
      <c r="AL346" s="294"/>
      <c r="AM346" s="294"/>
      <c r="AN346" s="294"/>
      <c r="AO346" s="294"/>
      <c r="AP346" s="294"/>
      <c r="AQ346" s="294"/>
      <c r="AR346" s="294"/>
    </row>
    <row r="347">
      <c r="A347" s="294"/>
      <c r="B347" s="294"/>
      <c r="C347" s="294"/>
      <c r="D347" s="294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  <c r="AC347" s="294"/>
      <c r="AD347" s="294"/>
      <c r="AE347" s="294"/>
      <c r="AF347" s="294"/>
      <c r="AG347" s="294"/>
      <c r="AH347" s="294"/>
      <c r="AI347" s="294"/>
      <c r="AJ347" s="294"/>
      <c r="AK347" s="294"/>
      <c r="AL347" s="294"/>
      <c r="AM347" s="294"/>
      <c r="AN347" s="294"/>
      <c r="AO347" s="294"/>
      <c r="AP347" s="294"/>
      <c r="AQ347" s="294"/>
      <c r="AR347" s="294"/>
    </row>
    <row r="348">
      <c r="A348" s="294"/>
      <c r="B348" s="294"/>
      <c r="C348" s="294"/>
      <c r="D348" s="294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  <c r="AC348" s="294"/>
      <c r="AD348" s="294"/>
      <c r="AE348" s="294"/>
      <c r="AF348" s="294"/>
      <c r="AG348" s="294"/>
      <c r="AH348" s="294"/>
      <c r="AI348" s="294"/>
      <c r="AJ348" s="294"/>
      <c r="AK348" s="294"/>
      <c r="AL348" s="294"/>
      <c r="AM348" s="294"/>
      <c r="AN348" s="294"/>
      <c r="AO348" s="294"/>
      <c r="AP348" s="294"/>
      <c r="AQ348" s="294"/>
      <c r="AR348" s="294"/>
    </row>
    <row r="349">
      <c r="A349" s="294"/>
      <c r="B349" s="294"/>
      <c r="C349" s="294"/>
      <c r="D349" s="294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  <c r="AC349" s="294"/>
      <c r="AD349" s="294"/>
      <c r="AE349" s="294"/>
      <c r="AF349" s="294"/>
      <c r="AG349" s="294"/>
      <c r="AH349" s="294"/>
      <c r="AI349" s="294"/>
      <c r="AJ349" s="294"/>
      <c r="AK349" s="294"/>
      <c r="AL349" s="294"/>
      <c r="AM349" s="294"/>
      <c r="AN349" s="294"/>
      <c r="AO349" s="294"/>
      <c r="AP349" s="294"/>
      <c r="AQ349" s="294"/>
      <c r="AR349" s="294"/>
    </row>
    <row r="350">
      <c r="A350" s="294"/>
      <c r="B350" s="294"/>
      <c r="C350" s="294"/>
      <c r="D350" s="294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4"/>
      <c r="AK350" s="294"/>
      <c r="AL350" s="294"/>
      <c r="AM350" s="294"/>
      <c r="AN350" s="294"/>
      <c r="AO350" s="294"/>
      <c r="AP350" s="294"/>
      <c r="AQ350" s="294"/>
      <c r="AR350" s="294"/>
    </row>
    <row r="351">
      <c r="A351" s="294"/>
      <c r="B351" s="294"/>
      <c r="C351" s="294"/>
      <c r="D351" s="294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4"/>
      <c r="AK351" s="294"/>
      <c r="AL351" s="294"/>
      <c r="AM351" s="294"/>
      <c r="AN351" s="294"/>
      <c r="AO351" s="294"/>
      <c r="AP351" s="294"/>
      <c r="AQ351" s="294"/>
      <c r="AR351" s="294"/>
    </row>
    <row r="352">
      <c r="A352" s="294"/>
      <c r="B352" s="294"/>
      <c r="C352" s="294"/>
      <c r="D352" s="294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4"/>
      <c r="AK352" s="294"/>
      <c r="AL352" s="294"/>
      <c r="AM352" s="294"/>
      <c r="AN352" s="294"/>
      <c r="AO352" s="294"/>
      <c r="AP352" s="294"/>
      <c r="AQ352" s="294"/>
      <c r="AR352" s="294"/>
    </row>
    <row r="353">
      <c r="A353" s="294"/>
      <c r="B353" s="294"/>
      <c r="C353" s="294"/>
      <c r="D353" s="294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4"/>
      <c r="AK353" s="294"/>
      <c r="AL353" s="294"/>
      <c r="AM353" s="294"/>
      <c r="AN353" s="294"/>
      <c r="AO353" s="294"/>
      <c r="AP353" s="294"/>
      <c r="AQ353" s="294"/>
      <c r="AR353" s="294"/>
    </row>
    <row r="354">
      <c r="A354" s="294"/>
      <c r="B354" s="294"/>
      <c r="C354" s="294"/>
      <c r="D354" s="294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  <c r="AC354" s="294"/>
      <c r="AD354" s="294"/>
      <c r="AE354" s="294"/>
      <c r="AF354" s="294"/>
      <c r="AG354" s="294"/>
      <c r="AH354" s="294"/>
      <c r="AI354" s="294"/>
      <c r="AJ354" s="294"/>
      <c r="AK354" s="294"/>
      <c r="AL354" s="294"/>
      <c r="AM354" s="294"/>
      <c r="AN354" s="294"/>
      <c r="AO354" s="294"/>
      <c r="AP354" s="294"/>
      <c r="AQ354" s="294"/>
      <c r="AR354" s="294"/>
    </row>
    <row r="355">
      <c r="A355" s="294"/>
      <c r="B355" s="294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294"/>
      <c r="P355" s="406"/>
      <c r="Q355" s="406"/>
      <c r="R355" s="406"/>
      <c r="S355" s="406"/>
      <c r="T355" s="294"/>
      <c r="U355" s="406"/>
      <c r="V355" s="406"/>
      <c r="W355" s="406"/>
      <c r="X355" s="406"/>
      <c r="Y355" s="294"/>
      <c r="Z355" s="406"/>
      <c r="AA355" s="406"/>
      <c r="AB355" s="406"/>
      <c r="AC355" s="406"/>
      <c r="AD355" s="294"/>
      <c r="AE355" s="406"/>
      <c r="AF355" s="406"/>
      <c r="AG355" s="406"/>
      <c r="AH355" s="406"/>
      <c r="AI355" s="294"/>
      <c r="AJ355" s="406"/>
      <c r="AK355" s="406"/>
      <c r="AL355" s="406"/>
      <c r="AM355" s="406"/>
      <c r="AN355" s="294"/>
      <c r="AO355" s="406"/>
      <c r="AP355" s="406"/>
      <c r="AQ355" s="406"/>
      <c r="AR355" s="406"/>
    </row>
    <row r="356">
      <c r="A356" s="294"/>
      <c r="B356" s="294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294"/>
      <c r="P356" s="406"/>
      <c r="Q356" s="406"/>
      <c r="R356" s="406"/>
      <c r="S356" s="406"/>
      <c r="T356" s="294"/>
      <c r="U356" s="406"/>
      <c r="V356" s="406"/>
      <c r="W356" s="406"/>
      <c r="X356" s="406"/>
      <c r="Y356" s="294"/>
      <c r="Z356" s="406"/>
      <c r="AA356" s="406"/>
      <c r="AB356" s="406"/>
      <c r="AC356" s="406"/>
      <c r="AD356" s="294"/>
      <c r="AE356" s="406"/>
      <c r="AF356" s="406"/>
      <c r="AG356" s="406"/>
      <c r="AH356" s="406"/>
      <c r="AI356" s="294"/>
      <c r="AJ356" s="406"/>
      <c r="AK356" s="406"/>
      <c r="AL356" s="406"/>
      <c r="AM356" s="406"/>
      <c r="AN356" s="294"/>
      <c r="AO356" s="406"/>
      <c r="AP356" s="406"/>
      <c r="AQ356" s="406"/>
      <c r="AR356" s="406"/>
    </row>
    <row r="357">
      <c r="A357" s="294"/>
      <c r="B357" s="294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294"/>
      <c r="P357" s="406"/>
      <c r="Q357" s="406"/>
      <c r="R357" s="406"/>
      <c r="S357" s="406"/>
      <c r="T357" s="294"/>
      <c r="U357" s="406"/>
      <c r="V357" s="406"/>
      <c r="W357" s="406"/>
      <c r="X357" s="406"/>
      <c r="Y357" s="294"/>
      <c r="Z357" s="406"/>
      <c r="AA357" s="406"/>
      <c r="AB357" s="406"/>
      <c r="AC357" s="406"/>
      <c r="AD357" s="294"/>
      <c r="AE357" s="406"/>
      <c r="AF357" s="406"/>
      <c r="AG357" s="406"/>
      <c r="AH357" s="406"/>
      <c r="AI357" s="294"/>
      <c r="AJ357" s="406"/>
      <c r="AK357" s="406"/>
      <c r="AL357" s="406"/>
      <c r="AM357" s="406"/>
      <c r="AN357" s="294"/>
      <c r="AO357" s="406"/>
      <c r="AP357" s="406"/>
      <c r="AQ357" s="406"/>
      <c r="AR357" s="406"/>
    </row>
    <row r="358">
      <c r="A358" s="294"/>
      <c r="B358" s="294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294"/>
      <c r="P358" s="406"/>
      <c r="Q358" s="406"/>
      <c r="R358" s="406"/>
      <c r="S358" s="406"/>
      <c r="T358" s="294"/>
      <c r="U358" s="406"/>
      <c r="V358" s="406"/>
      <c r="W358" s="406"/>
      <c r="X358" s="406"/>
      <c r="Y358" s="294"/>
      <c r="Z358" s="406"/>
      <c r="AA358" s="406"/>
      <c r="AB358" s="406"/>
      <c r="AC358" s="406"/>
      <c r="AD358" s="294"/>
      <c r="AE358" s="406"/>
      <c r="AF358" s="406"/>
      <c r="AG358" s="406"/>
      <c r="AH358" s="406"/>
      <c r="AI358" s="294"/>
      <c r="AJ358" s="406"/>
      <c r="AK358" s="406"/>
      <c r="AL358" s="406"/>
      <c r="AM358" s="406"/>
      <c r="AN358" s="294"/>
      <c r="AO358" s="406"/>
      <c r="AP358" s="406"/>
      <c r="AQ358" s="406"/>
      <c r="AR358" s="406"/>
    </row>
    <row r="359">
      <c r="A359" s="294"/>
      <c r="B359" s="294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294"/>
      <c r="P359" s="406"/>
      <c r="Q359" s="406"/>
      <c r="R359" s="406"/>
      <c r="S359" s="406"/>
      <c r="T359" s="294"/>
      <c r="U359" s="406"/>
      <c r="V359" s="406"/>
      <c r="W359" s="406"/>
      <c r="X359" s="406"/>
      <c r="Y359" s="294"/>
      <c r="Z359" s="406"/>
      <c r="AA359" s="406"/>
      <c r="AB359" s="406"/>
      <c r="AC359" s="406"/>
      <c r="AD359" s="294"/>
      <c r="AE359" s="406"/>
      <c r="AF359" s="406"/>
      <c r="AG359" s="406"/>
      <c r="AH359" s="406"/>
      <c r="AI359" s="294"/>
      <c r="AJ359" s="406"/>
      <c r="AK359" s="406"/>
      <c r="AL359" s="406"/>
      <c r="AM359" s="406"/>
      <c r="AN359" s="294"/>
      <c r="AO359" s="406"/>
      <c r="AP359" s="406"/>
      <c r="AQ359" s="406"/>
      <c r="AR359" s="406"/>
    </row>
    <row r="360">
      <c r="A360" s="294"/>
      <c r="B360" s="294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294"/>
      <c r="P360" s="406"/>
      <c r="Q360" s="406"/>
      <c r="R360" s="406"/>
      <c r="S360" s="406"/>
      <c r="T360" s="294"/>
      <c r="U360" s="406"/>
      <c r="V360" s="406"/>
      <c r="W360" s="406"/>
      <c r="X360" s="406"/>
      <c r="Y360" s="294"/>
      <c r="Z360" s="406"/>
      <c r="AA360" s="406"/>
      <c r="AB360" s="406"/>
      <c r="AC360" s="406"/>
      <c r="AD360" s="294"/>
      <c r="AE360" s="406"/>
      <c r="AF360" s="406"/>
      <c r="AG360" s="406"/>
      <c r="AH360" s="406"/>
      <c r="AI360" s="294"/>
      <c r="AJ360" s="406"/>
      <c r="AK360" s="406"/>
      <c r="AL360" s="406"/>
      <c r="AM360" s="406"/>
      <c r="AN360" s="294"/>
      <c r="AO360" s="406"/>
      <c r="AP360" s="406"/>
      <c r="AQ360" s="406"/>
      <c r="AR360" s="406"/>
    </row>
    <row r="361">
      <c r="A361" s="294"/>
      <c r="B361" s="294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294"/>
      <c r="P361" s="406"/>
      <c r="Q361" s="406"/>
      <c r="R361" s="406"/>
      <c r="S361" s="406"/>
      <c r="T361" s="294"/>
      <c r="U361" s="406"/>
      <c r="V361" s="406"/>
      <c r="W361" s="406"/>
      <c r="X361" s="406"/>
      <c r="Y361" s="294"/>
      <c r="Z361" s="406"/>
      <c r="AA361" s="406"/>
      <c r="AB361" s="406"/>
      <c r="AC361" s="406"/>
      <c r="AD361" s="294"/>
      <c r="AE361" s="406"/>
      <c r="AF361" s="406"/>
      <c r="AG361" s="406"/>
      <c r="AH361" s="406"/>
      <c r="AI361" s="294"/>
      <c r="AJ361" s="406"/>
      <c r="AK361" s="406"/>
      <c r="AL361" s="406"/>
      <c r="AM361" s="406"/>
      <c r="AN361" s="294"/>
      <c r="AO361" s="406"/>
      <c r="AP361" s="406"/>
      <c r="AQ361" s="406"/>
      <c r="AR361" s="406"/>
    </row>
    <row r="362">
      <c r="A362" s="294"/>
      <c r="B362" s="294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294"/>
      <c r="P362" s="406"/>
      <c r="Q362" s="406"/>
      <c r="R362" s="406"/>
      <c r="S362" s="406"/>
      <c r="T362" s="294"/>
      <c r="U362" s="406"/>
      <c r="V362" s="406"/>
      <c r="W362" s="406"/>
      <c r="X362" s="406"/>
      <c r="Y362" s="294"/>
      <c r="Z362" s="406"/>
      <c r="AA362" s="406"/>
      <c r="AB362" s="406"/>
      <c r="AC362" s="406"/>
      <c r="AD362" s="294"/>
      <c r="AE362" s="406"/>
      <c r="AF362" s="406"/>
      <c r="AG362" s="406"/>
      <c r="AH362" s="406"/>
      <c r="AI362" s="294"/>
      <c r="AJ362" s="406"/>
      <c r="AK362" s="406"/>
      <c r="AL362" s="406"/>
      <c r="AM362" s="406"/>
      <c r="AN362" s="294"/>
      <c r="AO362" s="406"/>
      <c r="AP362" s="406"/>
      <c r="AQ362" s="406"/>
      <c r="AR362" s="406"/>
    </row>
    <row r="363">
      <c r="A363" s="294"/>
      <c r="B363" s="294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294"/>
      <c r="P363" s="406"/>
      <c r="Q363" s="406"/>
      <c r="R363" s="406"/>
      <c r="S363" s="406"/>
      <c r="T363" s="294"/>
      <c r="U363" s="406"/>
      <c r="V363" s="406"/>
      <c r="W363" s="406"/>
      <c r="X363" s="406"/>
      <c r="Y363" s="294"/>
      <c r="Z363" s="406"/>
      <c r="AA363" s="406"/>
      <c r="AB363" s="406"/>
      <c r="AC363" s="406"/>
      <c r="AD363" s="294"/>
      <c r="AE363" s="406"/>
      <c r="AF363" s="406"/>
      <c r="AG363" s="406"/>
      <c r="AH363" s="406"/>
      <c r="AI363" s="294"/>
      <c r="AJ363" s="406"/>
      <c r="AK363" s="406"/>
      <c r="AL363" s="406"/>
      <c r="AM363" s="406"/>
      <c r="AN363" s="294"/>
      <c r="AO363" s="406"/>
      <c r="AP363" s="406"/>
      <c r="AQ363" s="406"/>
      <c r="AR363" s="406"/>
    </row>
    <row r="364">
      <c r="A364" s="294"/>
      <c r="B364" s="294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294"/>
      <c r="P364" s="406"/>
      <c r="Q364" s="406"/>
      <c r="R364" s="406"/>
      <c r="S364" s="406"/>
      <c r="T364" s="294"/>
      <c r="U364" s="406"/>
      <c r="V364" s="406"/>
      <c r="W364" s="406"/>
      <c r="X364" s="406"/>
      <c r="Y364" s="294"/>
      <c r="Z364" s="406"/>
      <c r="AA364" s="406"/>
      <c r="AB364" s="406"/>
      <c r="AC364" s="406"/>
      <c r="AD364" s="294"/>
      <c r="AE364" s="406"/>
      <c r="AF364" s="406"/>
      <c r="AG364" s="406"/>
      <c r="AH364" s="406"/>
      <c r="AI364" s="294"/>
      <c r="AJ364" s="406"/>
      <c r="AK364" s="406"/>
      <c r="AL364" s="406"/>
      <c r="AM364" s="406"/>
      <c r="AN364" s="294"/>
      <c r="AO364" s="406"/>
      <c r="AP364" s="406"/>
      <c r="AQ364" s="406"/>
      <c r="AR364" s="406"/>
    </row>
    <row r="365">
      <c r="A365" s="294"/>
      <c r="B365" s="294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294"/>
      <c r="P365" s="406"/>
      <c r="Q365" s="406"/>
      <c r="R365" s="406"/>
      <c r="S365" s="406"/>
      <c r="T365" s="294"/>
      <c r="U365" s="406"/>
      <c r="V365" s="406"/>
      <c r="W365" s="406"/>
      <c r="X365" s="406"/>
      <c r="Y365" s="294"/>
      <c r="Z365" s="406"/>
      <c r="AA365" s="406"/>
      <c r="AB365" s="406"/>
      <c r="AC365" s="406"/>
      <c r="AD365" s="294"/>
      <c r="AE365" s="406"/>
      <c r="AF365" s="406"/>
      <c r="AG365" s="406"/>
      <c r="AH365" s="406"/>
      <c r="AI365" s="294"/>
      <c r="AJ365" s="406"/>
      <c r="AK365" s="406"/>
      <c r="AL365" s="406"/>
      <c r="AM365" s="406"/>
      <c r="AN365" s="294"/>
      <c r="AO365" s="406"/>
      <c r="AP365" s="406"/>
      <c r="AQ365" s="406"/>
      <c r="AR365" s="406"/>
    </row>
    <row r="366">
      <c r="A366" s="294"/>
      <c r="B366" s="294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294"/>
      <c r="P366" s="406"/>
      <c r="Q366" s="406"/>
      <c r="R366" s="406"/>
      <c r="S366" s="406"/>
      <c r="T366" s="294"/>
      <c r="U366" s="406"/>
      <c r="V366" s="406"/>
      <c r="W366" s="406"/>
      <c r="X366" s="406"/>
      <c r="Y366" s="294"/>
      <c r="Z366" s="406"/>
      <c r="AA366" s="406"/>
      <c r="AB366" s="406"/>
      <c r="AC366" s="406"/>
      <c r="AD366" s="294"/>
      <c r="AE366" s="406"/>
      <c r="AF366" s="406"/>
      <c r="AG366" s="406"/>
      <c r="AH366" s="406"/>
      <c r="AI366" s="294"/>
      <c r="AJ366" s="406"/>
      <c r="AK366" s="406"/>
      <c r="AL366" s="406"/>
      <c r="AM366" s="406"/>
      <c r="AN366" s="294"/>
      <c r="AO366" s="406"/>
      <c r="AP366" s="406"/>
      <c r="AQ366" s="406"/>
      <c r="AR366" s="406"/>
    </row>
    <row r="367">
      <c r="A367" s="294"/>
      <c r="B367" s="294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294"/>
      <c r="P367" s="406"/>
      <c r="Q367" s="406"/>
      <c r="R367" s="406"/>
      <c r="S367" s="406"/>
      <c r="T367" s="294"/>
      <c r="U367" s="406"/>
      <c r="V367" s="406"/>
      <c r="W367" s="406"/>
      <c r="X367" s="406"/>
      <c r="Y367" s="294"/>
      <c r="Z367" s="406"/>
      <c r="AA367" s="406"/>
      <c r="AB367" s="406"/>
      <c r="AC367" s="406"/>
      <c r="AD367" s="294"/>
      <c r="AE367" s="406"/>
      <c r="AF367" s="406"/>
      <c r="AG367" s="406"/>
      <c r="AH367" s="406"/>
      <c r="AI367" s="294"/>
      <c r="AJ367" s="406"/>
      <c r="AK367" s="406"/>
      <c r="AL367" s="406"/>
      <c r="AM367" s="406"/>
      <c r="AN367" s="294"/>
      <c r="AO367" s="406"/>
      <c r="AP367" s="406"/>
      <c r="AQ367" s="406"/>
      <c r="AR367" s="406"/>
    </row>
    <row r="368">
      <c r="A368" s="294"/>
      <c r="B368" s="294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294"/>
      <c r="P368" s="406"/>
      <c r="Q368" s="406"/>
      <c r="R368" s="406"/>
      <c r="S368" s="406"/>
      <c r="T368" s="294"/>
      <c r="U368" s="406"/>
      <c r="V368" s="406"/>
      <c r="W368" s="406"/>
      <c r="X368" s="406"/>
      <c r="Y368" s="294"/>
      <c r="Z368" s="406"/>
      <c r="AA368" s="406"/>
      <c r="AB368" s="406"/>
      <c r="AC368" s="406"/>
      <c r="AD368" s="294"/>
      <c r="AE368" s="406"/>
      <c r="AF368" s="406"/>
      <c r="AG368" s="406"/>
      <c r="AH368" s="406"/>
      <c r="AI368" s="294"/>
      <c r="AJ368" s="406"/>
      <c r="AK368" s="406"/>
      <c r="AL368" s="406"/>
      <c r="AM368" s="406"/>
      <c r="AN368" s="294"/>
      <c r="AO368" s="406"/>
      <c r="AP368" s="406"/>
      <c r="AQ368" s="406"/>
      <c r="AR368" s="406"/>
    </row>
    <row r="369">
      <c r="A369" s="294"/>
      <c r="B369" s="294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294"/>
      <c r="P369" s="406"/>
      <c r="Q369" s="406"/>
      <c r="R369" s="406"/>
      <c r="S369" s="406"/>
      <c r="T369" s="294"/>
      <c r="U369" s="406"/>
      <c r="V369" s="406"/>
      <c r="W369" s="406"/>
      <c r="X369" s="406"/>
      <c r="Y369" s="294"/>
      <c r="Z369" s="406"/>
      <c r="AA369" s="406"/>
      <c r="AB369" s="406"/>
      <c r="AC369" s="406"/>
      <c r="AD369" s="294"/>
      <c r="AE369" s="406"/>
      <c r="AF369" s="406"/>
      <c r="AG369" s="406"/>
      <c r="AH369" s="406"/>
      <c r="AI369" s="294"/>
      <c r="AJ369" s="406"/>
      <c r="AK369" s="406"/>
      <c r="AL369" s="406"/>
      <c r="AM369" s="406"/>
      <c r="AN369" s="294"/>
      <c r="AO369" s="406"/>
      <c r="AP369" s="406"/>
      <c r="AQ369" s="406"/>
      <c r="AR369" s="406"/>
    </row>
    <row r="370">
      <c r="A370" s="294"/>
      <c r="B370" s="294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294"/>
      <c r="P370" s="406"/>
      <c r="Q370" s="406"/>
      <c r="R370" s="406"/>
      <c r="S370" s="406"/>
      <c r="T370" s="294"/>
      <c r="U370" s="406"/>
      <c r="V370" s="406"/>
      <c r="W370" s="406"/>
      <c r="X370" s="406"/>
      <c r="Y370" s="294"/>
      <c r="Z370" s="406"/>
      <c r="AA370" s="406"/>
      <c r="AB370" s="406"/>
      <c r="AC370" s="406"/>
      <c r="AD370" s="294"/>
      <c r="AE370" s="406"/>
      <c r="AF370" s="406"/>
      <c r="AG370" s="406"/>
      <c r="AH370" s="406"/>
      <c r="AI370" s="294"/>
      <c r="AJ370" s="406"/>
      <c r="AK370" s="406"/>
      <c r="AL370" s="406"/>
      <c r="AM370" s="406"/>
      <c r="AN370" s="294"/>
      <c r="AO370" s="406"/>
      <c r="AP370" s="406"/>
      <c r="AQ370" s="406"/>
      <c r="AR370" s="406"/>
    </row>
    <row r="371">
      <c r="A371" s="294"/>
      <c r="B371" s="294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294"/>
      <c r="P371" s="406"/>
      <c r="Q371" s="406"/>
      <c r="R371" s="406"/>
      <c r="S371" s="406"/>
      <c r="T371" s="294"/>
      <c r="U371" s="406"/>
      <c r="V371" s="406"/>
      <c r="W371" s="406"/>
      <c r="X371" s="406"/>
      <c r="Y371" s="294"/>
      <c r="Z371" s="406"/>
      <c r="AA371" s="406"/>
      <c r="AB371" s="406"/>
      <c r="AC371" s="406"/>
      <c r="AD371" s="294"/>
      <c r="AE371" s="406"/>
      <c r="AF371" s="406"/>
      <c r="AG371" s="406"/>
      <c r="AH371" s="406"/>
      <c r="AI371" s="294"/>
      <c r="AJ371" s="406"/>
      <c r="AK371" s="406"/>
      <c r="AL371" s="406"/>
      <c r="AM371" s="406"/>
      <c r="AN371" s="294"/>
      <c r="AO371" s="406"/>
      <c r="AP371" s="406"/>
      <c r="AQ371" s="406"/>
      <c r="AR371" s="406"/>
    </row>
    <row r="372">
      <c r="A372" s="294"/>
      <c r="B372" s="294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294"/>
      <c r="P372" s="406"/>
      <c r="Q372" s="406"/>
      <c r="R372" s="406"/>
      <c r="S372" s="406"/>
      <c r="T372" s="294"/>
      <c r="U372" s="406"/>
      <c r="V372" s="406"/>
      <c r="W372" s="406"/>
      <c r="X372" s="406"/>
      <c r="Y372" s="294"/>
      <c r="Z372" s="406"/>
      <c r="AA372" s="406"/>
      <c r="AB372" s="406"/>
      <c r="AC372" s="406"/>
      <c r="AD372" s="294"/>
      <c r="AE372" s="406"/>
      <c r="AF372" s="406"/>
      <c r="AG372" s="406"/>
      <c r="AH372" s="406"/>
      <c r="AI372" s="294"/>
      <c r="AJ372" s="406"/>
      <c r="AK372" s="406"/>
      <c r="AL372" s="406"/>
      <c r="AM372" s="406"/>
      <c r="AN372" s="294"/>
      <c r="AO372" s="406"/>
      <c r="AP372" s="406"/>
      <c r="AQ372" s="406"/>
      <c r="AR372" s="406"/>
    </row>
    <row r="373">
      <c r="A373" s="294"/>
      <c r="B373" s="294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294"/>
      <c r="P373" s="406"/>
      <c r="Q373" s="406"/>
      <c r="R373" s="406"/>
      <c r="S373" s="406"/>
      <c r="T373" s="294"/>
      <c r="U373" s="406"/>
      <c r="V373" s="406"/>
      <c r="W373" s="406"/>
      <c r="X373" s="406"/>
      <c r="Y373" s="294"/>
      <c r="Z373" s="406"/>
      <c r="AA373" s="406"/>
      <c r="AB373" s="406"/>
      <c r="AC373" s="406"/>
      <c r="AD373" s="294"/>
      <c r="AE373" s="406"/>
      <c r="AF373" s="406"/>
      <c r="AG373" s="406"/>
      <c r="AH373" s="406"/>
      <c r="AI373" s="294"/>
      <c r="AJ373" s="406"/>
      <c r="AK373" s="406"/>
      <c r="AL373" s="406"/>
      <c r="AM373" s="406"/>
      <c r="AN373" s="294"/>
      <c r="AO373" s="406"/>
      <c r="AP373" s="406"/>
      <c r="AQ373" s="406"/>
      <c r="AR373" s="406"/>
    </row>
    <row r="374">
      <c r="A374" s="294"/>
      <c r="B374" s="294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294"/>
      <c r="P374" s="406"/>
      <c r="Q374" s="406"/>
      <c r="R374" s="406"/>
      <c r="S374" s="406"/>
      <c r="T374" s="294"/>
      <c r="U374" s="406"/>
      <c r="V374" s="406"/>
      <c r="W374" s="406"/>
      <c r="X374" s="406"/>
      <c r="Y374" s="294"/>
      <c r="Z374" s="406"/>
      <c r="AA374" s="406"/>
      <c r="AB374" s="406"/>
      <c r="AC374" s="406"/>
      <c r="AD374" s="294"/>
      <c r="AE374" s="406"/>
      <c r="AF374" s="406"/>
      <c r="AG374" s="406"/>
      <c r="AH374" s="406"/>
      <c r="AI374" s="294"/>
      <c r="AJ374" s="406"/>
      <c r="AK374" s="406"/>
      <c r="AL374" s="406"/>
      <c r="AM374" s="406"/>
      <c r="AN374" s="294"/>
      <c r="AO374" s="406"/>
      <c r="AP374" s="406"/>
      <c r="AQ374" s="406"/>
      <c r="AR374" s="406"/>
    </row>
    <row r="375">
      <c r="A375" s="294"/>
      <c r="B375" s="294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294"/>
      <c r="P375" s="406"/>
      <c r="Q375" s="406"/>
      <c r="R375" s="406"/>
      <c r="S375" s="406"/>
      <c r="T375" s="294"/>
      <c r="U375" s="406"/>
      <c r="V375" s="406"/>
      <c r="W375" s="406"/>
      <c r="X375" s="406"/>
      <c r="Y375" s="294"/>
      <c r="Z375" s="406"/>
      <c r="AA375" s="406"/>
      <c r="AB375" s="406"/>
      <c r="AC375" s="406"/>
      <c r="AD375" s="294"/>
      <c r="AE375" s="406"/>
      <c r="AF375" s="406"/>
      <c r="AG375" s="406"/>
      <c r="AH375" s="406"/>
      <c r="AI375" s="294"/>
      <c r="AJ375" s="406"/>
      <c r="AK375" s="406"/>
      <c r="AL375" s="406"/>
      <c r="AM375" s="406"/>
      <c r="AN375" s="294"/>
      <c r="AO375" s="406"/>
      <c r="AP375" s="406"/>
      <c r="AQ375" s="406"/>
      <c r="AR375" s="406"/>
    </row>
    <row r="376">
      <c r="A376" s="294"/>
      <c r="B376" s="294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294"/>
      <c r="P376" s="406"/>
      <c r="Q376" s="406"/>
      <c r="R376" s="406"/>
      <c r="S376" s="406"/>
      <c r="T376" s="294"/>
      <c r="U376" s="406"/>
      <c r="V376" s="406"/>
      <c r="W376" s="406"/>
      <c r="X376" s="406"/>
      <c r="Y376" s="294"/>
      <c r="Z376" s="406"/>
      <c r="AA376" s="406"/>
      <c r="AB376" s="406"/>
      <c r="AC376" s="406"/>
      <c r="AD376" s="294"/>
      <c r="AE376" s="406"/>
      <c r="AF376" s="406"/>
      <c r="AG376" s="406"/>
      <c r="AH376" s="406"/>
      <c r="AI376" s="294"/>
      <c r="AJ376" s="406"/>
      <c r="AK376" s="406"/>
      <c r="AL376" s="406"/>
      <c r="AM376" s="406"/>
      <c r="AN376" s="294"/>
      <c r="AO376" s="406"/>
      <c r="AP376" s="406"/>
      <c r="AQ376" s="406"/>
      <c r="AR376" s="406"/>
    </row>
    <row r="377">
      <c r="A377" s="294"/>
      <c r="B377" s="294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294"/>
      <c r="P377" s="406"/>
      <c r="Q377" s="406"/>
      <c r="R377" s="406"/>
      <c r="S377" s="406"/>
      <c r="T377" s="294"/>
      <c r="U377" s="406"/>
      <c r="V377" s="406"/>
      <c r="W377" s="406"/>
      <c r="X377" s="406"/>
      <c r="Y377" s="294"/>
      <c r="Z377" s="406"/>
      <c r="AA377" s="406"/>
      <c r="AB377" s="406"/>
      <c r="AC377" s="406"/>
      <c r="AD377" s="294"/>
      <c r="AE377" s="406"/>
      <c r="AF377" s="406"/>
      <c r="AG377" s="406"/>
      <c r="AH377" s="406"/>
      <c r="AI377" s="294"/>
      <c r="AJ377" s="406"/>
      <c r="AK377" s="406"/>
      <c r="AL377" s="406"/>
      <c r="AM377" s="406"/>
      <c r="AN377" s="294"/>
      <c r="AO377" s="406"/>
      <c r="AP377" s="406"/>
      <c r="AQ377" s="406"/>
      <c r="AR377" s="406"/>
    </row>
    <row r="378">
      <c r="A378" s="294"/>
      <c r="B378" s="294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294"/>
      <c r="P378" s="406"/>
      <c r="Q378" s="406"/>
      <c r="R378" s="406"/>
      <c r="S378" s="406"/>
      <c r="T378" s="294"/>
      <c r="U378" s="406"/>
      <c r="V378" s="406"/>
      <c r="W378" s="406"/>
      <c r="X378" s="406"/>
      <c r="Y378" s="294"/>
      <c r="Z378" s="406"/>
      <c r="AA378" s="406"/>
      <c r="AB378" s="406"/>
      <c r="AC378" s="406"/>
      <c r="AD378" s="294"/>
      <c r="AE378" s="406"/>
      <c r="AF378" s="406"/>
      <c r="AG378" s="406"/>
      <c r="AH378" s="406"/>
      <c r="AI378" s="294"/>
      <c r="AJ378" s="406"/>
      <c r="AK378" s="406"/>
      <c r="AL378" s="406"/>
      <c r="AM378" s="406"/>
      <c r="AN378" s="294"/>
      <c r="AO378" s="406"/>
      <c r="AP378" s="406"/>
      <c r="AQ378" s="406"/>
      <c r="AR378" s="406"/>
    </row>
    <row r="379">
      <c r="A379" s="294"/>
      <c r="B379" s="294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294"/>
      <c r="P379" s="406"/>
      <c r="Q379" s="406"/>
      <c r="R379" s="406"/>
      <c r="S379" s="406"/>
      <c r="T379" s="294"/>
      <c r="U379" s="406"/>
      <c r="V379" s="406"/>
      <c r="W379" s="406"/>
      <c r="X379" s="406"/>
      <c r="Y379" s="294"/>
      <c r="Z379" s="406"/>
      <c r="AA379" s="406"/>
      <c r="AB379" s="406"/>
      <c r="AC379" s="406"/>
      <c r="AD379" s="294"/>
      <c r="AE379" s="406"/>
      <c r="AF379" s="406"/>
      <c r="AG379" s="406"/>
      <c r="AH379" s="406"/>
      <c r="AI379" s="294"/>
      <c r="AJ379" s="406"/>
      <c r="AK379" s="406"/>
      <c r="AL379" s="406"/>
      <c r="AM379" s="406"/>
      <c r="AN379" s="294"/>
      <c r="AO379" s="406"/>
      <c r="AP379" s="406"/>
      <c r="AQ379" s="406"/>
      <c r="AR379" s="406"/>
    </row>
    <row r="380">
      <c r="A380" s="294"/>
      <c r="B380" s="294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294"/>
      <c r="P380" s="406"/>
      <c r="Q380" s="406"/>
      <c r="R380" s="406"/>
      <c r="S380" s="406"/>
      <c r="T380" s="294"/>
      <c r="U380" s="406"/>
      <c r="V380" s="406"/>
      <c r="W380" s="406"/>
      <c r="X380" s="406"/>
      <c r="Y380" s="294"/>
      <c r="Z380" s="406"/>
      <c r="AA380" s="406"/>
      <c r="AB380" s="406"/>
      <c r="AC380" s="406"/>
      <c r="AD380" s="294"/>
      <c r="AE380" s="406"/>
      <c r="AF380" s="406"/>
      <c r="AG380" s="406"/>
      <c r="AH380" s="406"/>
      <c r="AI380" s="294"/>
      <c r="AJ380" s="406"/>
      <c r="AK380" s="406"/>
      <c r="AL380" s="406"/>
      <c r="AM380" s="406"/>
      <c r="AN380" s="294"/>
      <c r="AO380" s="406"/>
      <c r="AP380" s="406"/>
      <c r="AQ380" s="406"/>
      <c r="AR380" s="406"/>
    </row>
    <row r="381">
      <c r="A381" s="294"/>
      <c r="B381" s="294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294"/>
      <c r="P381" s="406"/>
      <c r="Q381" s="406"/>
      <c r="R381" s="406"/>
      <c r="S381" s="406"/>
      <c r="T381" s="294"/>
      <c r="U381" s="406"/>
      <c r="V381" s="406"/>
      <c r="W381" s="406"/>
      <c r="X381" s="406"/>
      <c r="Y381" s="294"/>
      <c r="Z381" s="406"/>
      <c r="AA381" s="406"/>
      <c r="AB381" s="406"/>
      <c r="AC381" s="406"/>
      <c r="AD381" s="294"/>
      <c r="AE381" s="406"/>
      <c r="AF381" s="406"/>
      <c r="AG381" s="406"/>
      <c r="AH381" s="406"/>
      <c r="AI381" s="294"/>
      <c r="AJ381" s="406"/>
      <c r="AK381" s="406"/>
      <c r="AL381" s="406"/>
      <c r="AM381" s="406"/>
      <c r="AN381" s="294"/>
      <c r="AO381" s="406"/>
      <c r="AP381" s="406"/>
      <c r="AQ381" s="406"/>
      <c r="AR381" s="406"/>
    </row>
    <row r="382">
      <c r="A382" s="294"/>
      <c r="B382" s="294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294"/>
      <c r="P382" s="406"/>
      <c r="Q382" s="406"/>
      <c r="R382" s="406"/>
      <c r="S382" s="406"/>
      <c r="T382" s="294"/>
      <c r="U382" s="406"/>
      <c r="V382" s="406"/>
      <c r="W382" s="406"/>
      <c r="X382" s="406"/>
      <c r="Y382" s="294"/>
      <c r="Z382" s="406"/>
      <c r="AA382" s="406"/>
      <c r="AB382" s="406"/>
      <c r="AC382" s="406"/>
      <c r="AD382" s="294"/>
      <c r="AE382" s="406"/>
      <c r="AF382" s="406"/>
      <c r="AG382" s="406"/>
      <c r="AH382" s="406"/>
      <c r="AI382" s="294"/>
      <c r="AJ382" s="406"/>
      <c r="AK382" s="406"/>
      <c r="AL382" s="406"/>
      <c r="AM382" s="406"/>
      <c r="AN382" s="294"/>
      <c r="AO382" s="406"/>
      <c r="AP382" s="406"/>
      <c r="AQ382" s="406"/>
      <c r="AR382" s="406"/>
    </row>
    <row r="383">
      <c r="A383" s="294"/>
      <c r="B383" s="294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294"/>
      <c r="P383" s="406"/>
      <c r="Q383" s="406"/>
      <c r="R383" s="406"/>
      <c r="S383" s="406"/>
      <c r="T383" s="294"/>
      <c r="U383" s="406"/>
      <c r="V383" s="406"/>
      <c r="W383" s="406"/>
      <c r="X383" s="406"/>
      <c r="Y383" s="294"/>
      <c r="Z383" s="406"/>
      <c r="AA383" s="406"/>
      <c r="AB383" s="406"/>
      <c r="AC383" s="406"/>
      <c r="AD383" s="294"/>
      <c r="AE383" s="406"/>
      <c r="AF383" s="406"/>
      <c r="AG383" s="406"/>
      <c r="AH383" s="406"/>
      <c r="AI383" s="294"/>
      <c r="AJ383" s="406"/>
      <c r="AK383" s="406"/>
      <c r="AL383" s="406"/>
      <c r="AM383" s="406"/>
      <c r="AN383" s="294"/>
      <c r="AO383" s="406"/>
      <c r="AP383" s="406"/>
      <c r="AQ383" s="406"/>
      <c r="AR383" s="406"/>
    </row>
    <row r="384">
      <c r="A384" s="294"/>
      <c r="B384" s="294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294"/>
      <c r="P384" s="406"/>
      <c r="Q384" s="406"/>
      <c r="R384" s="406"/>
      <c r="S384" s="406"/>
      <c r="T384" s="294"/>
      <c r="U384" s="406"/>
      <c r="V384" s="406"/>
      <c r="W384" s="406"/>
      <c r="X384" s="406"/>
      <c r="Y384" s="294"/>
      <c r="Z384" s="406"/>
      <c r="AA384" s="406"/>
      <c r="AB384" s="406"/>
      <c r="AC384" s="406"/>
      <c r="AD384" s="294"/>
      <c r="AE384" s="406"/>
      <c r="AF384" s="406"/>
      <c r="AG384" s="406"/>
      <c r="AH384" s="406"/>
      <c r="AI384" s="294"/>
      <c r="AJ384" s="406"/>
      <c r="AK384" s="406"/>
      <c r="AL384" s="406"/>
      <c r="AM384" s="406"/>
      <c r="AN384" s="294"/>
      <c r="AO384" s="406"/>
      <c r="AP384" s="406"/>
      <c r="AQ384" s="406"/>
      <c r="AR384" s="406"/>
    </row>
    <row r="385">
      <c r="A385" s="294"/>
      <c r="B385" s="294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294"/>
      <c r="P385" s="406"/>
      <c r="Q385" s="406"/>
      <c r="R385" s="406"/>
      <c r="S385" s="406"/>
      <c r="T385" s="294"/>
      <c r="U385" s="406"/>
      <c r="V385" s="406"/>
      <c r="W385" s="406"/>
      <c r="X385" s="406"/>
      <c r="Y385" s="294"/>
      <c r="Z385" s="406"/>
      <c r="AA385" s="406"/>
      <c r="AB385" s="406"/>
      <c r="AC385" s="406"/>
      <c r="AD385" s="294"/>
      <c r="AE385" s="406"/>
      <c r="AF385" s="406"/>
      <c r="AG385" s="406"/>
      <c r="AH385" s="406"/>
      <c r="AI385" s="294"/>
      <c r="AJ385" s="406"/>
      <c r="AK385" s="406"/>
      <c r="AL385" s="406"/>
      <c r="AM385" s="406"/>
      <c r="AN385" s="294"/>
      <c r="AO385" s="406"/>
      <c r="AP385" s="406"/>
      <c r="AQ385" s="406"/>
      <c r="AR385" s="406"/>
    </row>
    <row r="386">
      <c r="A386" s="294"/>
      <c r="B386" s="294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294"/>
      <c r="P386" s="406"/>
      <c r="Q386" s="406"/>
      <c r="R386" s="406"/>
      <c r="S386" s="406"/>
      <c r="T386" s="294"/>
      <c r="U386" s="406"/>
      <c r="V386" s="406"/>
      <c r="W386" s="406"/>
      <c r="X386" s="406"/>
      <c r="Y386" s="294"/>
      <c r="Z386" s="406"/>
      <c r="AA386" s="406"/>
      <c r="AB386" s="406"/>
      <c r="AC386" s="406"/>
      <c r="AD386" s="294"/>
      <c r="AE386" s="406"/>
      <c r="AF386" s="406"/>
      <c r="AG386" s="406"/>
      <c r="AH386" s="406"/>
      <c r="AI386" s="294"/>
      <c r="AJ386" s="406"/>
      <c r="AK386" s="406"/>
      <c r="AL386" s="406"/>
      <c r="AM386" s="406"/>
      <c r="AN386" s="294"/>
      <c r="AO386" s="406"/>
      <c r="AP386" s="406"/>
      <c r="AQ386" s="406"/>
      <c r="AR386" s="406"/>
    </row>
    <row r="387">
      <c r="A387" s="294"/>
      <c r="B387" s="294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294"/>
      <c r="P387" s="406"/>
      <c r="Q387" s="406"/>
      <c r="R387" s="406"/>
      <c r="S387" s="406"/>
      <c r="T387" s="294"/>
      <c r="U387" s="406"/>
      <c r="V387" s="406"/>
      <c r="W387" s="406"/>
      <c r="X387" s="406"/>
      <c r="Y387" s="294"/>
      <c r="Z387" s="406"/>
      <c r="AA387" s="406"/>
      <c r="AB387" s="406"/>
      <c r="AC387" s="406"/>
      <c r="AD387" s="294"/>
      <c r="AE387" s="406"/>
      <c r="AF387" s="406"/>
      <c r="AG387" s="406"/>
      <c r="AH387" s="406"/>
      <c r="AI387" s="294"/>
      <c r="AJ387" s="406"/>
      <c r="AK387" s="406"/>
      <c r="AL387" s="406"/>
      <c r="AM387" s="406"/>
      <c r="AN387" s="294"/>
      <c r="AO387" s="406"/>
      <c r="AP387" s="406"/>
      <c r="AQ387" s="406"/>
      <c r="AR387" s="406"/>
    </row>
    <row r="388">
      <c r="A388" s="294"/>
      <c r="B388" s="294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294"/>
      <c r="P388" s="406"/>
      <c r="Q388" s="406"/>
      <c r="R388" s="406"/>
      <c r="S388" s="406"/>
      <c r="T388" s="294"/>
      <c r="U388" s="406"/>
      <c r="V388" s="406"/>
      <c r="W388" s="406"/>
      <c r="X388" s="406"/>
      <c r="Y388" s="294"/>
      <c r="Z388" s="406"/>
      <c r="AA388" s="406"/>
      <c r="AB388" s="406"/>
      <c r="AC388" s="406"/>
      <c r="AD388" s="294"/>
      <c r="AE388" s="406"/>
      <c r="AF388" s="406"/>
      <c r="AG388" s="406"/>
      <c r="AH388" s="406"/>
      <c r="AI388" s="294"/>
      <c r="AJ388" s="406"/>
      <c r="AK388" s="406"/>
      <c r="AL388" s="406"/>
      <c r="AM388" s="406"/>
      <c r="AN388" s="294"/>
      <c r="AO388" s="406"/>
      <c r="AP388" s="406"/>
      <c r="AQ388" s="406"/>
      <c r="AR388" s="406"/>
    </row>
    <row r="389">
      <c r="A389" s="294"/>
      <c r="B389" s="294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294"/>
      <c r="P389" s="406"/>
      <c r="Q389" s="406"/>
      <c r="R389" s="406"/>
      <c r="S389" s="406"/>
      <c r="T389" s="294"/>
      <c r="U389" s="406"/>
      <c r="V389" s="406"/>
      <c r="W389" s="406"/>
      <c r="X389" s="406"/>
      <c r="Y389" s="294"/>
      <c r="Z389" s="406"/>
      <c r="AA389" s="406"/>
      <c r="AB389" s="406"/>
      <c r="AC389" s="406"/>
      <c r="AD389" s="294"/>
      <c r="AE389" s="406"/>
      <c r="AF389" s="406"/>
      <c r="AG389" s="406"/>
      <c r="AH389" s="406"/>
      <c r="AI389" s="294"/>
      <c r="AJ389" s="406"/>
      <c r="AK389" s="406"/>
      <c r="AL389" s="406"/>
      <c r="AM389" s="406"/>
      <c r="AN389" s="294"/>
      <c r="AO389" s="406"/>
      <c r="AP389" s="406"/>
      <c r="AQ389" s="406"/>
      <c r="AR389" s="406"/>
    </row>
    <row r="390">
      <c r="A390" s="294"/>
      <c r="B390" s="294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294"/>
      <c r="P390" s="406"/>
      <c r="Q390" s="406"/>
      <c r="R390" s="406"/>
      <c r="S390" s="406"/>
      <c r="T390" s="294"/>
      <c r="U390" s="406"/>
      <c r="V390" s="406"/>
      <c r="W390" s="406"/>
      <c r="X390" s="406"/>
      <c r="Y390" s="294"/>
      <c r="Z390" s="406"/>
      <c r="AA390" s="406"/>
      <c r="AB390" s="406"/>
      <c r="AC390" s="406"/>
      <c r="AD390" s="294"/>
      <c r="AE390" s="406"/>
      <c r="AF390" s="406"/>
      <c r="AG390" s="406"/>
      <c r="AH390" s="406"/>
      <c r="AI390" s="294"/>
      <c r="AJ390" s="406"/>
      <c r="AK390" s="406"/>
      <c r="AL390" s="406"/>
      <c r="AM390" s="406"/>
      <c r="AN390" s="294"/>
      <c r="AO390" s="406"/>
      <c r="AP390" s="406"/>
      <c r="AQ390" s="406"/>
      <c r="AR390" s="406"/>
    </row>
    <row r="391">
      <c r="A391" s="294"/>
      <c r="B391" s="294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294"/>
      <c r="P391" s="406"/>
      <c r="Q391" s="406"/>
      <c r="R391" s="406"/>
      <c r="S391" s="406"/>
      <c r="T391" s="294"/>
      <c r="U391" s="406"/>
      <c r="V391" s="406"/>
      <c r="W391" s="406"/>
      <c r="X391" s="406"/>
      <c r="Y391" s="294"/>
      <c r="Z391" s="406"/>
      <c r="AA391" s="406"/>
      <c r="AB391" s="406"/>
      <c r="AC391" s="406"/>
      <c r="AD391" s="294"/>
      <c r="AE391" s="406"/>
      <c r="AF391" s="406"/>
      <c r="AG391" s="406"/>
      <c r="AH391" s="406"/>
      <c r="AI391" s="294"/>
      <c r="AJ391" s="406"/>
      <c r="AK391" s="406"/>
      <c r="AL391" s="406"/>
      <c r="AM391" s="406"/>
      <c r="AN391" s="294"/>
      <c r="AO391" s="406"/>
      <c r="AP391" s="406"/>
      <c r="AQ391" s="406"/>
      <c r="AR391" s="406"/>
    </row>
    <row r="392">
      <c r="A392" s="294"/>
      <c r="B392" s="294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294"/>
      <c r="P392" s="406"/>
      <c r="Q392" s="406"/>
      <c r="R392" s="406"/>
      <c r="S392" s="406"/>
      <c r="T392" s="294"/>
      <c r="U392" s="406"/>
      <c r="V392" s="406"/>
      <c r="W392" s="406"/>
      <c r="X392" s="406"/>
      <c r="Y392" s="294"/>
      <c r="Z392" s="406"/>
      <c r="AA392" s="406"/>
      <c r="AB392" s="406"/>
      <c r="AC392" s="406"/>
      <c r="AD392" s="294"/>
      <c r="AE392" s="406"/>
      <c r="AF392" s="406"/>
      <c r="AG392" s="406"/>
      <c r="AH392" s="406"/>
      <c r="AI392" s="294"/>
      <c r="AJ392" s="406"/>
      <c r="AK392" s="406"/>
      <c r="AL392" s="406"/>
      <c r="AM392" s="406"/>
      <c r="AN392" s="294"/>
      <c r="AO392" s="406"/>
      <c r="AP392" s="406"/>
      <c r="AQ392" s="406"/>
      <c r="AR392" s="406"/>
    </row>
    <row r="393">
      <c r="A393" s="294"/>
      <c r="B393" s="294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294"/>
      <c r="P393" s="406"/>
      <c r="Q393" s="406"/>
      <c r="R393" s="406"/>
      <c r="S393" s="406"/>
      <c r="T393" s="294"/>
      <c r="U393" s="406"/>
      <c r="V393" s="406"/>
      <c r="W393" s="406"/>
      <c r="X393" s="406"/>
      <c r="Y393" s="294"/>
      <c r="Z393" s="406"/>
      <c r="AA393" s="406"/>
      <c r="AB393" s="406"/>
      <c r="AC393" s="406"/>
      <c r="AD393" s="294"/>
      <c r="AE393" s="406"/>
      <c r="AF393" s="406"/>
      <c r="AG393" s="406"/>
      <c r="AH393" s="406"/>
      <c r="AI393" s="294"/>
      <c r="AJ393" s="406"/>
      <c r="AK393" s="406"/>
      <c r="AL393" s="406"/>
      <c r="AM393" s="406"/>
      <c r="AN393" s="294"/>
      <c r="AO393" s="406"/>
      <c r="AP393" s="406"/>
      <c r="AQ393" s="406"/>
      <c r="AR393" s="406"/>
    </row>
    <row r="394">
      <c r="A394" s="294"/>
      <c r="B394" s="294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294"/>
      <c r="P394" s="406"/>
      <c r="Q394" s="406"/>
      <c r="R394" s="406"/>
      <c r="S394" s="406"/>
      <c r="T394" s="294"/>
      <c r="U394" s="406"/>
      <c r="V394" s="406"/>
      <c r="W394" s="406"/>
      <c r="X394" s="406"/>
      <c r="Y394" s="294"/>
      <c r="Z394" s="406"/>
      <c r="AA394" s="406"/>
      <c r="AB394" s="406"/>
      <c r="AC394" s="406"/>
      <c r="AD394" s="294"/>
      <c r="AE394" s="406"/>
      <c r="AF394" s="406"/>
      <c r="AG394" s="406"/>
      <c r="AH394" s="406"/>
      <c r="AI394" s="294"/>
      <c r="AJ394" s="406"/>
      <c r="AK394" s="406"/>
      <c r="AL394" s="406"/>
      <c r="AM394" s="406"/>
      <c r="AN394" s="294"/>
      <c r="AO394" s="406"/>
      <c r="AP394" s="406"/>
      <c r="AQ394" s="406"/>
      <c r="AR394" s="406"/>
    </row>
    <row r="395">
      <c r="A395" s="294"/>
      <c r="B395" s="294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294"/>
      <c r="P395" s="406"/>
      <c r="Q395" s="406"/>
      <c r="R395" s="406"/>
      <c r="S395" s="406"/>
      <c r="T395" s="294"/>
      <c r="U395" s="406"/>
      <c r="V395" s="406"/>
      <c r="W395" s="406"/>
      <c r="X395" s="406"/>
      <c r="Y395" s="294"/>
      <c r="Z395" s="406"/>
      <c r="AA395" s="406"/>
      <c r="AB395" s="406"/>
      <c r="AC395" s="406"/>
      <c r="AD395" s="294"/>
      <c r="AE395" s="406"/>
      <c r="AF395" s="406"/>
      <c r="AG395" s="406"/>
      <c r="AH395" s="406"/>
      <c r="AI395" s="294"/>
      <c r="AJ395" s="406"/>
      <c r="AK395" s="406"/>
      <c r="AL395" s="406"/>
      <c r="AM395" s="406"/>
      <c r="AN395" s="294"/>
      <c r="AO395" s="406"/>
      <c r="AP395" s="406"/>
      <c r="AQ395" s="406"/>
      <c r="AR395" s="406"/>
    </row>
    <row r="396">
      <c r="A396" s="294"/>
      <c r="B396" s="294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294"/>
      <c r="P396" s="406"/>
      <c r="Q396" s="406"/>
      <c r="R396" s="406"/>
      <c r="S396" s="406"/>
      <c r="T396" s="294"/>
      <c r="U396" s="406"/>
      <c r="V396" s="406"/>
      <c r="W396" s="406"/>
      <c r="X396" s="406"/>
      <c r="Y396" s="294"/>
      <c r="Z396" s="406"/>
      <c r="AA396" s="406"/>
      <c r="AB396" s="406"/>
      <c r="AC396" s="406"/>
      <c r="AD396" s="294"/>
      <c r="AE396" s="406"/>
      <c r="AF396" s="406"/>
      <c r="AG396" s="406"/>
      <c r="AH396" s="406"/>
      <c r="AI396" s="294"/>
      <c r="AJ396" s="406"/>
      <c r="AK396" s="406"/>
      <c r="AL396" s="406"/>
      <c r="AM396" s="406"/>
      <c r="AN396" s="294"/>
      <c r="AO396" s="406"/>
      <c r="AP396" s="406"/>
      <c r="AQ396" s="406"/>
      <c r="AR396" s="406"/>
    </row>
    <row r="397">
      <c r="A397" s="294"/>
      <c r="B397" s="294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294"/>
      <c r="P397" s="406"/>
      <c r="Q397" s="406"/>
      <c r="R397" s="406"/>
      <c r="S397" s="406"/>
      <c r="T397" s="294"/>
      <c r="U397" s="406"/>
      <c r="V397" s="406"/>
      <c r="W397" s="406"/>
      <c r="X397" s="406"/>
      <c r="Y397" s="294"/>
      <c r="Z397" s="406"/>
      <c r="AA397" s="406"/>
      <c r="AB397" s="406"/>
      <c r="AC397" s="406"/>
      <c r="AD397" s="294"/>
      <c r="AE397" s="406"/>
      <c r="AF397" s="406"/>
      <c r="AG397" s="406"/>
      <c r="AH397" s="406"/>
      <c r="AI397" s="294"/>
      <c r="AJ397" s="406"/>
      <c r="AK397" s="406"/>
      <c r="AL397" s="406"/>
      <c r="AM397" s="406"/>
      <c r="AN397" s="294"/>
      <c r="AO397" s="406"/>
      <c r="AP397" s="406"/>
      <c r="AQ397" s="406"/>
      <c r="AR397" s="406"/>
    </row>
    <row r="398">
      <c r="A398" s="294"/>
      <c r="B398" s="294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294"/>
      <c r="P398" s="406"/>
      <c r="Q398" s="406"/>
      <c r="R398" s="406"/>
      <c r="S398" s="406"/>
      <c r="T398" s="294"/>
      <c r="U398" s="406"/>
      <c r="V398" s="406"/>
      <c r="W398" s="406"/>
      <c r="X398" s="406"/>
      <c r="Y398" s="294"/>
      <c r="Z398" s="406"/>
      <c r="AA398" s="406"/>
      <c r="AB398" s="406"/>
      <c r="AC398" s="406"/>
      <c r="AD398" s="294"/>
      <c r="AE398" s="406"/>
      <c r="AF398" s="406"/>
      <c r="AG398" s="406"/>
      <c r="AH398" s="406"/>
      <c r="AI398" s="294"/>
      <c r="AJ398" s="406"/>
      <c r="AK398" s="406"/>
      <c r="AL398" s="406"/>
      <c r="AM398" s="406"/>
      <c r="AN398" s="294"/>
      <c r="AO398" s="406"/>
      <c r="AP398" s="406"/>
      <c r="AQ398" s="406"/>
      <c r="AR398" s="406"/>
    </row>
    <row r="399">
      <c r="A399" s="294"/>
      <c r="B399" s="294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294"/>
      <c r="P399" s="406"/>
      <c r="Q399" s="406"/>
      <c r="R399" s="406"/>
      <c r="S399" s="406"/>
      <c r="T399" s="294"/>
      <c r="U399" s="406"/>
      <c r="V399" s="406"/>
      <c r="W399" s="406"/>
      <c r="X399" s="406"/>
      <c r="Y399" s="294"/>
      <c r="Z399" s="406"/>
      <c r="AA399" s="406"/>
      <c r="AB399" s="406"/>
      <c r="AC399" s="406"/>
      <c r="AD399" s="294"/>
      <c r="AE399" s="406"/>
      <c r="AF399" s="406"/>
      <c r="AG399" s="406"/>
      <c r="AH399" s="406"/>
      <c r="AI399" s="294"/>
      <c r="AJ399" s="406"/>
      <c r="AK399" s="406"/>
      <c r="AL399" s="406"/>
      <c r="AM399" s="406"/>
      <c r="AN399" s="294"/>
      <c r="AO399" s="406"/>
      <c r="AP399" s="406"/>
      <c r="AQ399" s="406"/>
      <c r="AR399" s="406"/>
    </row>
    <row r="400">
      <c r="A400" s="294"/>
      <c r="B400" s="294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294"/>
      <c r="P400" s="406"/>
      <c r="Q400" s="406"/>
      <c r="R400" s="406"/>
      <c r="S400" s="406"/>
      <c r="T400" s="294"/>
      <c r="U400" s="406"/>
      <c r="V400" s="406"/>
      <c r="W400" s="406"/>
      <c r="X400" s="406"/>
      <c r="Y400" s="294"/>
      <c r="Z400" s="406"/>
      <c r="AA400" s="406"/>
      <c r="AB400" s="406"/>
      <c r="AC400" s="406"/>
      <c r="AD400" s="294"/>
      <c r="AE400" s="406"/>
      <c r="AF400" s="406"/>
      <c r="AG400" s="406"/>
      <c r="AH400" s="406"/>
      <c r="AI400" s="294"/>
      <c r="AJ400" s="406"/>
      <c r="AK400" s="406"/>
      <c r="AL400" s="406"/>
      <c r="AM400" s="406"/>
      <c r="AN400" s="294"/>
      <c r="AO400" s="406"/>
      <c r="AP400" s="406"/>
      <c r="AQ400" s="406"/>
      <c r="AR400" s="406"/>
    </row>
    <row r="401">
      <c r="A401" s="294"/>
      <c r="B401" s="294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294"/>
      <c r="P401" s="406"/>
      <c r="Q401" s="406"/>
      <c r="R401" s="406"/>
      <c r="S401" s="406"/>
      <c r="T401" s="294"/>
      <c r="U401" s="406"/>
      <c r="V401" s="406"/>
      <c r="W401" s="406"/>
      <c r="X401" s="406"/>
      <c r="Y401" s="294"/>
      <c r="Z401" s="406"/>
      <c r="AA401" s="406"/>
      <c r="AB401" s="406"/>
      <c r="AC401" s="406"/>
      <c r="AD401" s="294"/>
      <c r="AE401" s="406"/>
      <c r="AF401" s="406"/>
      <c r="AG401" s="406"/>
      <c r="AH401" s="406"/>
      <c r="AI401" s="294"/>
      <c r="AJ401" s="406"/>
      <c r="AK401" s="406"/>
      <c r="AL401" s="406"/>
      <c r="AM401" s="406"/>
      <c r="AN401" s="294"/>
      <c r="AO401" s="406"/>
      <c r="AP401" s="406"/>
      <c r="AQ401" s="406"/>
      <c r="AR401" s="406"/>
    </row>
    <row r="402">
      <c r="A402" s="294"/>
      <c r="B402" s="294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294"/>
      <c r="P402" s="406"/>
      <c r="Q402" s="406"/>
      <c r="R402" s="406"/>
      <c r="S402" s="406"/>
      <c r="T402" s="294"/>
      <c r="U402" s="406"/>
      <c r="V402" s="406"/>
      <c r="W402" s="406"/>
      <c r="X402" s="406"/>
      <c r="Y402" s="294"/>
      <c r="Z402" s="406"/>
      <c r="AA402" s="406"/>
      <c r="AB402" s="406"/>
      <c r="AC402" s="406"/>
      <c r="AD402" s="294"/>
      <c r="AE402" s="406"/>
      <c r="AF402" s="406"/>
      <c r="AG402" s="406"/>
      <c r="AH402" s="406"/>
      <c r="AI402" s="294"/>
      <c r="AJ402" s="406"/>
      <c r="AK402" s="406"/>
      <c r="AL402" s="406"/>
      <c r="AM402" s="406"/>
      <c r="AN402" s="294"/>
      <c r="AO402" s="406"/>
      <c r="AP402" s="406"/>
      <c r="AQ402" s="406"/>
      <c r="AR402" s="406"/>
    </row>
    <row r="403">
      <c r="A403" s="294"/>
      <c r="B403" s="294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294"/>
      <c r="P403" s="406"/>
      <c r="Q403" s="406"/>
      <c r="R403" s="406"/>
      <c r="S403" s="406"/>
      <c r="T403" s="294"/>
      <c r="U403" s="406"/>
      <c r="V403" s="406"/>
      <c r="W403" s="406"/>
      <c r="X403" s="406"/>
      <c r="Y403" s="294"/>
      <c r="Z403" s="406"/>
      <c r="AA403" s="406"/>
      <c r="AB403" s="406"/>
      <c r="AC403" s="406"/>
      <c r="AD403" s="294"/>
      <c r="AE403" s="406"/>
      <c r="AF403" s="406"/>
      <c r="AG403" s="406"/>
      <c r="AH403" s="406"/>
      <c r="AI403" s="294"/>
      <c r="AJ403" s="406"/>
      <c r="AK403" s="406"/>
      <c r="AL403" s="406"/>
      <c r="AM403" s="406"/>
      <c r="AN403" s="294"/>
      <c r="AO403" s="406"/>
      <c r="AP403" s="406"/>
      <c r="AQ403" s="406"/>
      <c r="AR403" s="406"/>
    </row>
    <row r="404">
      <c r="A404" s="294"/>
      <c r="B404" s="294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294"/>
      <c r="P404" s="406"/>
      <c r="Q404" s="406"/>
      <c r="R404" s="406"/>
      <c r="S404" s="406"/>
      <c r="T404" s="294"/>
      <c r="U404" s="406"/>
      <c r="V404" s="406"/>
      <c r="W404" s="406"/>
      <c r="X404" s="406"/>
      <c r="Y404" s="294"/>
      <c r="Z404" s="406"/>
      <c r="AA404" s="406"/>
      <c r="AB404" s="406"/>
      <c r="AC404" s="406"/>
      <c r="AD404" s="294"/>
      <c r="AE404" s="406"/>
      <c r="AF404" s="406"/>
      <c r="AG404" s="406"/>
      <c r="AH404" s="406"/>
      <c r="AI404" s="294"/>
      <c r="AJ404" s="406"/>
      <c r="AK404" s="406"/>
      <c r="AL404" s="406"/>
      <c r="AM404" s="406"/>
      <c r="AN404" s="294"/>
      <c r="AO404" s="406"/>
      <c r="AP404" s="406"/>
      <c r="AQ404" s="406"/>
      <c r="AR404" s="406"/>
    </row>
    <row r="405">
      <c r="A405" s="294"/>
      <c r="B405" s="294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294"/>
      <c r="P405" s="406"/>
      <c r="Q405" s="406"/>
      <c r="R405" s="406"/>
      <c r="S405" s="406"/>
      <c r="T405" s="294"/>
      <c r="U405" s="406"/>
      <c r="V405" s="406"/>
      <c r="W405" s="406"/>
      <c r="X405" s="406"/>
      <c r="Y405" s="294"/>
      <c r="Z405" s="406"/>
      <c r="AA405" s="406"/>
      <c r="AB405" s="406"/>
      <c r="AC405" s="406"/>
      <c r="AD405" s="294"/>
      <c r="AE405" s="406"/>
      <c r="AF405" s="406"/>
      <c r="AG405" s="406"/>
      <c r="AH405" s="406"/>
      <c r="AI405" s="294"/>
      <c r="AJ405" s="406"/>
      <c r="AK405" s="406"/>
      <c r="AL405" s="406"/>
      <c r="AM405" s="406"/>
      <c r="AN405" s="294"/>
      <c r="AO405" s="406"/>
      <c r="AP405" s="406"/>
      <c r="AQ405" s="406"/>
      <c r="AR405" s="406"/>
    </row>
    <row r="406">
      <c r="A406" s="294"/>
      <c r="B406" s="294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294"/>
      <c r="P406" s="406"/>
      <c r="Q406" s="406"/>
      <c r="R406" s="406"/>
      <c r="S406" s="406"/>
      <c r="T406" s="294"/>
      <c r="U406" s="406"/>
      <c r="V406" s="406"/>
      <c r="W406" s="406"/>
      <c r="X406" s="406"/>
      <c r="Y406" s="294"/>
      <c r="Z406" s="406"/>
      <c r="AA406" s="406"/>
      <c r="AB406" s="406"/>
      <c r="AC406" s="406"/>
      <c r="AD406" s="294"/>
      <c r="AE406" s="406"/>
      <c r="AF406" s="406"/>
      <c r="AG406" s="406"/>
      <c r="AH406" s="406"/>
      <c r="AI406" s="294"/>
      <c r="AJ406" s="406"/>
      <c r="AK406" s="406"/>
      <c r="AL406" s="406"/>
      <c r="AM406" s="406"/>
      <c r="AN406" s="294"/>
      <c r="AO406" s="406"/>
      <c r="AP406" s="406"/>
      <c r="AQ406" s="406"/>
      <c r="AR406" s="406"/>
    </row>
    <row r="407">
      <c r="A407" s="294"/>
      <c r="B407" s="294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294"/>
      <c r="P407" s="406"/>
      <c r="Q407" s="406"/>
      <c r="R407" s="406"/>
      <c r="S407" s="406"/>
      <c r="T407" s="294"/>
      <c r="U407" s="406"/>
      <c r="V407" s="406"/>
      <c r="W407" s="406"/>
      <c r="X407" s="406"/>
      <c r="Y407" s="294"/>
      <c r="Z407" s="406"/>
      <c r="AA407" s="406"/>
      <c r="AB407" s="406"/>
      <c r="AC407" s="406"/>
      <c r="AD407" s="294"/>
      <c r="AE407" s="406"/>
      <c r="AF407" s="406"/>
      <c r="AG407" s="406"/>
      <c r="AH407" s="406"/>
      <c r="AI407" s="294"/>
      <c r="AJ407" s="406"/>
      <c r="AK407" s="406"/>
      <c r="AL407" s="406"/>
      <c r="AM407" s="406"/>
      <c r="AN407" s="294"/>
      <c r="AO407" s="406"/>
      <c r="AP407" s="406"/>
      <c r="AQ407" s="406"/>
      <c r="AR407" s="406"/>
    </row>
    <row r="408">
      <c r="A408" s="294"/>
      <c r="B408" s="294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294"/>
      <c r="P408" s="406"/>
      <c r="Q408" s="406"/>
      <c r="R408" s="406"/>
      <c r="S408" s="406"/>
      <c r="T408" s="294"/>
      <c r="U408" s="406"/>
      <c r="V408" s="406"/>
      <c r="W408" s="406"/>
      <c r="X408" s="406"/>
      <c r="Y408" s="294"/>
      <c r="Z408" s="406"/>
      <c r="AA408" s="406"/>
      <c r="AB408" s="406"/>
      <c r="AC408" s="406"/>
      <c r="AD408" s="294"/>
      <c r="AE408" s="406"/>
      <c r="AF408" s="406"/>
      <c r="AG408" s="406"/>
      <c r="AH408" s="406"/>
      <c r="AI408" s="294"/>
      <c r="AJ408" s="406"/>
      <c r="AK408" s="406"/>
      <c r="AL408" s="406"/>
      <c r="AM408" s="406"/>
      <c r="AN408" s="294"/>
      <c r="AO408" s="406"/>
      <c r="AP408" s="406"/>
      <c r="AQ408" s="406"/>
      <c r="AR408" s="406"/>
    </row>
    <row r="409">
      <c r="A409" s="294"/>
      <c r="B409" s="294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294"/>
      <c r="P409" s="406"/>
      <c r="Q409" s="406"/>
      <c r="R409" s="406"/>
      <c r="S409" s="406"/>
      <c r="T409" s="294"/>
      <c r="U409" s="406"/>
      <c r="V409" s="406"/>
      <c r="W409" s="406"/>
      <c r="X409" s="406"/>
      <c r="Y409" s="294"/>
      <c r="Z409" s="406"/>
      <c r="AA409" s="406"/>
      <c r="AB409" s="406"/>
      <c r="AC409" s="406"/>
      <c r="AD409" s="294"/>
      <c r="AE409" s="406"/>
      <c r="AF409" s="406"/>
      <c r="AG409" s="406"/>
      <c r="AH409" s="406"/>
      <c r="AI409" s="294"/>
      <c r="AJ409" s="406"/>
      <c r="AK409" s="406"/>
      <c r="AL409" s="406"/>
      <c r="AM409" s="406"/>
      <c r="AN409" s="294"/>
      <c r="AO409" s="406"/>
      <c r="AP409" s="406"/>
      <c r="AQ409" s="406"/>
      <c r="AR409" s="406"/>
    </row>
    <row r="410">
      <c r="A410" s="294"/>
      <c r="B410" s="294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294"/>
      <c r="P410" s="406"/>
      <c r="Q410" s="406"/>
      <c r="R410" s="406"/>
      <c r="S410" s="406"/>
      <c r="T410" s="294"/>
      <c r="U410" s="406"/>
      <c r="V410" s="406"/>
      <c r="W410" s="406"/>
      <c r="X410" s="406"/>
      <c r="Y410" s="294"/>
      <c r="Z410" s="406"/>
      <c r="AA410" s="406"/>
      <c r="AB410" s="406"/>
      <c r="AC410" s="406"/>
      <c r="AD410" s="294"/>
      <c r="AE410" s="406"/>
      <c r="AF410" s="406"/>
      <c r="AG410" s="406"/>
      <c r="AH410" s="406"/>
      <c r="AI410" s="294"/>
      <c r="AJ410" s="406"/>
      <c r="AK410" s="406"/>
      <c r="AL410" s="406"/>
      <c r="AM410" s="406"/>
      <c r="AN410" s="294"/>
      <c r="AO410" s="406"/>
      <c r="AP410" s="406"/>
      <c r="AQ410" s="406"/>
      <c r="AR410" s="406"/>
    </row>
    <row r="411">
      <c r="A411" s="294"/>
      <c r="B411" s="294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294"/>
      <c r="P411" s="406"/>
      <c r="Q411" s="406"/>
      <c r="R411" s="406"/>
      <c r="S411" s="406"/>
      <c r="T411" s="294"/>
      <c r="U411" s="406"/>
      <c r="V411" s="406"/>
      <c r="W411" s="406"/>
      <c r="X411" s="406"/>
      <c r="Y411" s="294"/>
      <c r="Z411" s="406"/>
      <c r="AA411" s="406"/>
      <c r="AB411" s="406"/>
      <c r="AC411" s="406"/>
      <c r="AD411" s="294"/>
      <c r="AE411" s="406"/>
      <c r="AF411" s="406"/>
      <c r="AG411" s="406"/>
      <c r="AH411" s="406"/>
      <c r="AI411" s="294"/>
      <c r="AJ411" s="406"/>
      <c r="AK411" s="406"/>
      <c r="AL411" s="406"/>
      <c r="AM411" s="406"/>
      <c r="AN411" s="294"/>
      <c r="AO411" s="406"/>
      <c r="AP411" s="406"/>
      <c r="AQ411" s="406"/>
      <c r="AR411" s="406"/>
    </row>
    <row r="412">
      <c r="A412" s="294"/>
      <c r="B412" s="294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294"/>
      <c r="P412" s="406"/>
      <c r="Q412" s="406"/>
      <c r="R412" s="406"/>
      <c r="S412" s="406"/>
      <c r="T412" s="294"/>
      <c r="U412" s="406"/>
      <c r="V412" s="406"/>
      <c r="W412" s="406"/>
      <c r="X412" s="406"/>
      <c r="Y412" s="294"/>
      <c r="Z412" s="406"/>
      <c r="AA412" s="406"/>
      <c r="AB412" s="406"/>
      <c r="AC412" s="406"/>
      <c r="AD412" s="294"/>
      <c r="AE412" s="406"/>
      <c r="AF412" s="406"/>
      <c r="AG412" s="406"/>
      <c r="AH412" s="406"/>
      <c r="AI412" s="294"/>
      <c r="AJ412" s="406"/>
      <c r="AK412" s="406"/>
      <c r="AL412" s="406"/>
      <c r="AM412" s="406"/>
      <c r="AN412" s="294"/>
      <c r="AO412" s="406"/>
      <c r="AP412" s="406"/>
      <c r="AQ412" s="406"/>
      <c r="AR412" s="406"/>
    </row>
    <row r="413">
      <c r="A413" s="294"/>
      <c r="B413" s="294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294"/>
      <c r="P413" s="406"/>
      <c r="Q413" s="406"/>
      <c r="R413" s="406"/>
      <c r="S413" s="406"/>
      <c r="T413" s="294"/>
      <c r="U413" s="406"/>
      <c r="V413" s="406"/>
      <c r="W413" s="406"/>
      <c r="X413" s="406"/>
      <c r="Y413" s="294"/>
      <c r="Z413" s="406"/>
      <c r="AA413" s="406"/>
      <c r="AB413" s="406"/>
      <c r="AC413" s="406"/>
      <c r="AD413" s="294"/>
      <c r="AE413" s="406"/>
      <c r="AF413" s="406"/>
      <c r="AG413" s="406"/>
      <c r="AH413" s="406"/>
      <c r="AI413" s="294"/>
      <c r="AJ413" s="406"/>
      <c r="AK413" s="406"/>
      <c r="AL413" s="406"/>
      <c r="AM413" s="406"/>
      <c r="AN413" s="294"/>
      <c r="AO413" s="406"/>
      <c r="AP413" s="406"/>
      <c r="AQ413" s="406"/>
      <c r="AR413" s="406"/>
    </row>
    <row r="414">
      <c r="A414" s="294"/>
      <c r="B414" s="294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294"/>
      <c r="P414" s="406"/>
      <c r="Q414" s="406"/>
      <c r="R414" s="406"/>
      <c r="S414" s="406"/>
      <c r="T414" s="294"/>
      <c r="U414" s="406"/>
      <c r="V414" s="406"/>
      <c r="W414" s="406"/>
      <c r="X414" s="406"/>
      <c r="Y414" s="294"/>
      <c r="Z414" s="406"/>
      <c r="AA414" s="406"/>
      <c r="AB414" s="406"/>
      <c r="AC414" s="406"/>
      <c r="AD414" s="294"/>
      <c r="AE414" s="406"/>
      <c r="AF414" s="406"/>
      <c r="AG414" s="406"/>
      <c r="AH414" s="406"/>
      <c r="AI414" s="294"/>
      <c r="AJ414" s="406"/>
      <c r="AK414" s="406"/>
      <c r="AL414" s="406"/>
      <c r="AM414" s="406"/>
      <c r="AN414" s="294"/>
      <c r="AO414" s="406"/>
      <c r="AP414" s="406"/>
      <c r="AQ414" s="406"/>
      <c r="AR414" s="406"/>
    </row>
    <row r="415">
      <c r="A415" s="294"/>
      <c r="B415" s="294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294"/>
      <c r="P415" s="406"/>
      <c r="Q415" s="406"/>
      <c r="R415" s="406"/>
      <c r="S415" s="406"/>
      <c r="T415" s="294"/>
      <c r="U415" s="406"/>
      <c r="V415" s="406"/>
      <c r="W415" s="406"/>
      <c r="X415" s="406"/>
      <c r="Y415" s="294"/>
      <c r="Z415" s="406"/>
      <c r="AA415" s="406"/>
      <c r="AB415" s="406"/>
      <c r="AC415" s="406"/>
      <c r="AD415" s="294"/>
      <c r="AE415" s="406"/>
      <c r="AF415" s="406"/>
      <c r="AG415" s="406"/>
      <c r="AH415" s="406"/>
      <c r="AI415" s="294"/>
      <c r="AJ415" s="406"/>
      <c r="AK415" s="406"/>
      <c r="AL415" s="406"/>
      <c r="AM415" s="406"/>
      <c r="AN415" s="294"/>
      <c r="AO415" s="406"/>
      <c r="AP415" s="406"/>
      <c r="AQ415" s="406"/>
      <c r="AR415" s="406"/>
    </row>
    <row r="416">
      <c r="A416" s="294"/>
      <c r="B416" s="294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294"/>
      <c r="P416" s="406"/>
      <c r="Q416" s="406"/>
      <c r="R416" s="406"/>
      <c r="S416" s="406"/>
      <c r="T416" s="294"/>
      <c r="U416" s="406"/>
      <c r="V416" s="406"/>
      <c r="W416" s="406"/>
      <c r="X416" s="406"/>
      <c r="Y416" s="294"/>
      <c r="Z416" s="406"/>
      <c r="AA416" s="406"/>
      <c r="AB416" s="406"/>
      <c r="AC416" s="406"/>
      <c r="AD416" s="294"/>
      <c r="AE416" s="406"/>
      <c r="AF416" s="406"/>
      <c r="AG416" s="406"/>
      <c r="AH416" s="406"/>
      <c r="AI416" s="294"/>
      <c r="AJ416" s="406"/>
      <c r="AK416" s="406"/>
      <c r="AL416" s="406"/>
      <c r="AM416" s="406"/>
      <c r="AN416" s="294"/>
      <c r="AO416" s="406"/>
      <c r="AP416" s="406"/>
      <c r="AQ416" s="406"/>
      <c r="AR416" s="406"/>
    </row>
    <row r="417">
      <c r="A417" s="294"/>
      <c r="B417" s="294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294"/>
      <c r="P417" s="406"/>
      <c r="Q417" s="406"/>
      <c r="R417" s="406"/>
      <c r="S417" s="406"/>
      <c r="T417" s="294"/>
      <c r="U417" s="406"/>
      <c r="V417" s="406"/>
      <c r="W417" s="406"/>
      <c r="X417" s="406"/>
      <c r="Y417" s="294"/>
      <c r="Z417" s="406"/>
      <c r="AA417" s="406"/>
      <c r="AB417" s="406"/>
      <c r="AC417" s="406"/>
      <c r="AD417" s="294"/>
      <c r="AE417" s="406"/>
      <c r="AF417" s="406"/>
      <c r="AG417" s="406"/>
      <c r="AH417" s="406"/>
      <c r="AI417" s="294"/>
      <c r="AJ417" s="406"/>
      <c r="AK417" s="406"/>
      <c r="AL417" s="406"/>
      <c r="AM417" s="406"/>
      <c r="AN417" s="294"/>
      <c r="AO417" s="406"/>
      <c r="AP417" s="406"/>
      <c r="AQ417" s="406"/>
      <c r="AR417" s="406"/>
    </row>
    <row r="418">
      <c r="A418" s="294"/>
      <c r="B418" s="294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294"/>
      <c r="P418" s="406"/>
      <c r="Q418" s="406"/>
      <c r="R418" s="406"/>
      <c r="S418" s="406"/>
      <c r="T418" s="294"/>
      <c r="U418" s="406"/>
      <c r="V418" s="406"/>
      <c r="W418" s="406"/>
      <c r="X418" s="406"/>
      <c r="Y418" s="294"/>
      <c r="Z418" s="406"/>
      <c r="AA418" s="406"/>
      <c r="AB418" s="406"/>
      <c r="AC418" s="406"/>
      <c r="AD418" s="294"/>
      <c r="AE418" s="406"/>
      <c r="AF418" s="406"/>
      <c r="AG418" s="406"/>
      <c r="AH418" s="406"/>
      <c r="AI418" s="294"/>
      <c r="AJ418" s="406"/>
      <c r="AK418" s="406"/>
      <c r="AL418" s="406"/>
      <c r="AM418" s="406"/>
      <c r="AN418" s="294"/>
      <c r="AO418" s="406"/>
      <c r="AP418" s="406"/>
      <c r="AQ418" s="406"/>
      <c r="AR418" s="406"/>
    </row>
    <row r="419">
      <c r="A419" s="294"/>
      <c r="B419" s="294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294"/>
      <c r="P419" s="406"/>
      <c r="Q419" s="406"/>
      <c r="R419" s="406"/>
      <c r="S419" s="406"/>
      <c r="T419" s="294"/>
      <c r="U419" s="406"/>
      <c r="V419" s="406"/>
      <c r="W419" s="406"/>
      <c r="X419" s="406"/>
      <c r="Y419" s="294"/>
      <c r="Z419" s="406"/>
      <c r="AA419" s="406"/>
      <c r="AB419" s="406"/>
      <c r="AC419" s="406"/>
      <c r="AD419" s="294"/>
      <c r="AE419" s="406"/>
      <c r="AF419" s="406"/>
      <c r="AG419" s="406"/>
      <c r="AH419" s="406"/>
      <c r="AI419" s="294"/>
      <c r="AJ419" s="406"/>
      <c r="AK419" s="406"/>
      <c r="AL419" s="406"/>
      <c r="AM419" s="406"/>
      <c r="AN419" s="294"/>
      <c r="AO419" s="406"/>
      <c r="AP419" s="406"/>
      <c r="AQ419" s="406"/>
      <c r="AR419" s="406"/>
    </row>
    <row r="420">
      <c r="A420" s="294"/>
      <c r="B420" s="294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294"/>
      <c r="P420" s="406"/>
      <c r="Q420" s="406"/>
      <c r="R420" s="406"/>
      <c r="S420" s="406"/>
      <c r="T420" s="294"/>
      <c r="U420" s="406"/>
      <c r="V420" s="406"/>
      <c r="W420" s="406"/>
      <c r="X420" s="406"/>
      <c r="Y420" s="294"/>
      <c r="Z420" s="406"/>
      <c r="AA420" s="406"/>
      <c r="AB420" s="406"/>
      <c r="AC420" s="406"/>
      <c r="AD420" s="294"/>
      <c r="AE420" s="406"/>
      <c r="AF420" s="406"/>
      <c r="AG420" s="406"/>
      <c r="AH420" s="406"/>
      <c r="AI420" s="294"/>
      <c r="AJ420" s="406"/>
      <c r="AK420" s="406"/>
      <c r="AL420" s="406"/>
      <c r="AM420" s="406"/>
      <c r="AN420" s="294"/>
      <c r="AO420" s="406"/>
      <c r="AP420" s="406"/>
      <c r="AQ420" s="406"/>
      <c r="AR420" s="406"/>
    </row>
    <row r="421">
      <c r="A421" s="294"/>
      <c r="B421" s="294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294"/>
      <c r="P421" s="406"/>
      <c r="Q421" s="406"/>
      <c r="R421" s="406"/>
      <c r="S421" s="406"/>
      <c r="T421" s="294"/>
      <c r="U421" s="406"/>
      <c r="V421" s="406"/>
      <c r="W421" s="406"/>
      <c r="X421" s="406"/>
      <c r="Y421" s="294"/>
      <c r="Z421" s="406"/>
      <c r="AA421" s="406"/>
      <c r="AB421" s="406"/>
      <c r="AC421" s="406"/>
      <c r="AD421" s="294"/>
      <c r="AE421" s="406"/>
      <c r="AF421" s="406"/>
      <c r="AG421" s="406"/>
      <c r="AH421" s="406"/>
      <c r="AI421" s="294"/>
      <c r="AJ421" s="406"/>
      <c r="AK421" s="406"/>
      <c r="AL421" s="406"/>
      <c r="AM421" s="406"/>
      <c r="AN421" s="294"/>
      <c r="AO421" s="406"/>
      <c r="AP421" s="406"/>
      <c r="AQ421" s="406"/>
      <c r="AR421" s="406"/>
    </row>
    <row r="422">
      <c r="A422" s="294"/>
      <c r="B422" s="294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294"/>
      <c r="P422" s="406"/>
      <c r="Q422" s="406"/>
      <c r="R422" s="406"/>
      <c r="S422" s="406"/>
      <c r="T422" s="294"/>
      <c r="U422" s="406"/>
      <c r="V422" s="406"/>
      <c r="W422" s="406"/>
      <c r="X422" s="406"/>
      <c r="Y422" s="294"/>
      <c r="Z422" s="406"/>
      <c r="AA422" s="406"/>
      <c r="AB422" s="406"/>
      <c r="AC422" s="406"/>
      <c r="AD422" s="294"/>
      <c r="AE422" s="406"/>
      <c r="AF422" s="406"/>
      <c r="AG422" s="406"/>
      <c r="AH422" s="406"/>
      <c r="AI422" s="294"/>
      <c r="AJ422" s="406"/>
      <c r="AK422" s="406"/>
      <c r="AL422" s="406"/>
      <c r="AM422" s="406"/>
      <c r="AN422" s="294"/>
      <c r="AO422" s="406"/>
      <c r="AP422" s="406"/>
      <c r="AQ422" s="406"/>
      <c r="AR422" s="406"/>
    </row>
    <row r="423">
      <c r="A423" s="294"/>
      <c r="B423" s="294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294"/>
      <c r="P423" s="406"/>
      <c r="Q423" s="406"/>
      <c r="R423" s="406"/>
      <c r="S423" s="406"/>
      <c r="T423" s="294"/>
      <c r="U423" s="406"/>
      <c r="V423" s="406"/>
      <c r="W423" s="406"/>
      <c r="X423" s="406"/>
      <c r="Y423" s="294"/>
      <c r="Z423" s="406"/>
      <c r="AA423" s="406"/>
      <c r="AB423" s="406"/>
      <c r="AC423" s="406"/>
      <c r="AD423" s="294"/>
      <c r="AE423" s="406"/>
      <c r="AF423" s="406"/>
      <c r="AG423" s="406"/>
      <c r="AH423" s="406"/>
      <c r="AI423" s="294"/>
      <c r="AJ423" s="406"/>
      <c r="AK423" s="406"/>
      <c r="AL423" s="406"/>
      <c r="AM423" s="406"/>
      <c r="AN423" s="294"/>
      <c r="AO423" s="406"/>
      <c r="AP423" s="406"/>
      <c r="AQ423" s="406"/>
      <c r="AR423" s="406"/>
    </row>
    <row r="424">
      <c r="A424" s="294"/>
      <c r="B424" s="294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294"/>
      <c r="P424" s="406"/>
      <c r="Q424" s="406"/>
      <c r="R424" s="406"/>
      <c r="S424" s="406"/>
      <c r="T424" s="294"/>
      <c r="U424" s="406"/>
      <c r="V424" s="406"/>
      <c r="W424" s="406"/>
      <c r="X424" s="406"/>
      <c r="Y424" s="294"/>
      <c r="Z424" s="406"/>
      <c r="AA424" s="406"/>
      <c r="AB424" s="406"/>
      <c r="AC424" s="406"/>
      <c r="AD424" s="294"/>
      <c r="AE424" s="406"/>
      <c r="AF424" s="406"/>
      <c r="AG424" s="406"/>
      <c r="AH424" s="406"/>
      <c r="AI424" s="294"/>
      <c r="AJ424" s="406"/>
      <c r="AK424" s="406"/>
      <c r="AL424" s="406"/>
      <c r="AM424" s="406"/>
      <c r="AN424" s="294"/>
      <c r="AO424" s="406"/>
      <c r="AP424" s="406"/>
      <c r="AQ424" s="406"/>
      <c r="AR424" s="406"/>
    </row>
    <row r="425">
      <c r="A425" s="294"/>
      <c r="B425" s="294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294"/>
      <c r="P425" s="406"/>
      <c r="Q425" s="406"/>
      <c r="R425" s="406"/>
      <c r="S425" s="406"/>
      <c r="T425" s="294"/>
      <c r="U425" s="406"/>
      <c r="V425" s="406"/>
      <c r="W425" s="406"/>
      <c r="X425" s="406"/>
      <c r="Y425" s="294"/>
      <c r="Z425" s="406"/>
      <c r="AA425" s="406"/>
      <c r="AB425" s="406"/>
      <c r="AC425" s="406"/>
      <c r="AD425" s="294"/>
      <c r="AE425" s="406"/>
      <c r="AF425" s="406"/>
      <c r="AG425" s="406"/>
      <c r="AH425" s="406"/>
      <c r="AI425" s="294"/>
      <c r="AJ425" s="406"/>
      <c r="AK425" s="406"/>
      <c r="AL425" s="406"/>
      <c r="AM425" s="406"/>
      <c r="AN425" s="294"/>
      <c r="AO425" s="406"/>
      <c r="AP425" s="406"/>
      <c r="AQ425" s="406"/>
      <c r="AR425" s="406"/>
    </row>
    <row r="426">
      <c r="A426" s="294"/>
      <c r="B426" s="294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294"/>
      <c r="P426" s="406"/>
      <c r="Q426" s="406"/>
      <c r="R426" s="406"/>
      <c r="S426" s="406"/>
      <c r="T426" s="294"/>
      <c r="U426" s="406"/>
      <c r="V426" s="406"/>
      <c r="W426" s="406"/>
      <c r="X426" s="406"/>
      <c r="Y426" s="294"/>
      <c r="Z426" s="406"/>
      <c r="AA426" s="406"/>
      <c r="AB426" s="406"/>
      <c r="AC426" s="406"/>
      <c r="AD426" s="294"/>
      <c r="AE426" s="406"/>
      <c r="AF426" s="406"/>
      <c r="AG426" s="406"/>
      <c r="AH426" s="406"/>
      <c r="AI426" s="294"/>
      <c r="AJ426" s="406"/>
      <c r="AK426" s="406"/>
      <c r="AL426" s="406"/>
      <c r="AM426" s="406"/>
      <c r="AN426" s="294"/>
      <c r="AO426" s="406"/>
      <c r="AP426" s="406"/>
      <c r="AQ426" s="406"/>
      <c r="AR426" s="406"/>
    </row>
    <row r="427">
      <c r="A427" s="294"/>
      <c r="B427" s="294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294"/>
      <c r="P427" s="406"/>
      <c r="Q427" s="406"/>
      <c r="R427" s="406"/>
      <c r="S427" s="406"/>
      <c r="T427" s="294"/>
      <c r="U427" s="406"/>
      <c r="V427" s="406"/>
      <c r="W427" s="406"/>
      <c r="X427" s="406"/>
      <c r="Y427" s="294"/>
      <c r="Z427" s="406"/>
      <c r="AA427" s="406"/>
      <c r="AB427" s="406"/>
      <c r="AC427" s="406"/>
      <c r="AD427" s="294"/>
      <c r="AE427" s="406"/>
      <c r="AF427" s="406"/>
      <c r="AG427" s="406"/>
      <c r="AH427" s="406"/>
      <c r="AI427" s="294"/>
      <c r="AJ427" s="406"/>
      <c r="AK427" s="406"/>
      <c r="AL427" s="406"/>
      <c r="AM427" s="406"/>
      <c r="AN427" s="294"/>
      <c r="AO427" s="406"/>
      <c r="AP427" s="406"/>
      <c r="AQ427" s="406"/>
      <c r="AR427" s="406"/>
    </row>
    <row r="428">
      <c r="A428" s="294"/>
      <c r="B428" s="294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294"/>
      <c r="P428" s="406"/>
      <c r="Q428" s="406"/>
      <c r="R428" s="406"/>
      <c r="S428" s="406"/>
      <c r="T428" s="294"/>
      <c r="U428" s="406"/>
      <c r="V428" s="406"/>
      <c r="W428" s="406"/>
      <c r="X428" s="406"/>
      <c r="Y428" s="294"/>
      <c r="Z428" s="406"/>
      <c r="AA428" s="406"/>
      <c r="AB428" s="406"/>
      <c r="AC428" s="406"/>
      <c r="AD428" s="294"/>
      <c r="AE428" s="406"/>
      <c r="AF428" s="406"/>
      <c r="AG428" s="406"/>
      <c r="AH428" s="406"/>
      <c r="AI428" s="294"/>
      <c r="AJ428" s="406"/>
      <c r="AK428" s="406"/>
      <c r="AL428" s="406"/>
      <c r="AM428" s="406"/>
      <c r="AN428" s="294"/>
      <c r="AO428" s="406"/>
      <c r="AP428" s="406"/>
      <c r="AQ428" s="406"/>
      <c r="AR428" s="406"/>
    </row>
    <row r="429">
      <c r="A429" s="294"/>
      <c r="B429" s="294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294"/>
      <c r="P429" s="406"/>
      <c r="Q429" s="406"/>
      <c r="R429" s="406"/>
      <c r="S429" s="406"/>
      <c r="T429" s="294"/>
      <c r="U429" s="406"/>
      <c r="V429" s="406"/>
      <c r="W429" s="406"/>
      <c r="X429" s="406"/>
      <c r="Y429" s="294"/>
      <c r="Z429" s="406"/>
      <c r="AA429" s="406"/>
      <c r="AB429" s="406"/>
      <c r="AC429" s="406"/>
      <c r="AD429" s="294"/>
      <c r="AE429" s="406"/>
      <c r="AF429" s="406"/>
      <c r="AG429" s="406"/>
      <c r="AH429" s="406"/>
      <c r="AI429" s="294"/>
      <c r="AJ429" s="406"/>
      <c r="AK429" s="406"/>
      <c r="AL429" s="406"/>
      <c r="AM429" s="406"/>
      <c r="AN429" s="294"/>
      <c r="AO429" s="406"/>
      <c r="AP429" s="406"/>
      <c r="AQ429" s="406"/>
      <c r="AR429" s="406"/>
    </row>
    <row r="430">
      <c r="A430" s="294"/>
      <c r="B430" s="294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294"/>
      <c r="P430" s="406"/>
      <c r="Q430" s="406"/>
      <c r="R430" s="406"/>
      <c r="S430" s="406"/>
      <c r="T430" s="294"/>
      <c r="U430" s="406"/>
      <c r="V430" s="406"/>
      <c r="W430" s="406"/>
      <c r="X430" s="406"/>
      <c r="Y430" s="294"/>
      <c r="Z430" s="406"/>
      <c r="AA430" s="406"/>
      <c r="AB430" s="406"/>
      <c r="AC430" s="406"/>
      <c r="AD430" s="294"/>
      <c r="AE430" s="406"/>
      <c r="AF430" s="406"/>
      <c r="AG430" s="406"/>
      <c r="AH430" s="406"/>
      <c r="AI430" s="294"/>
      <c r="AJ430" s="406"/>
      <c r="AK430" s="406"/>
      <c r="AL430" s="406"/>
      <c r="AM430" s="406"/>
      <c r="AN430" s="294"/>
      <c r="AO430" s="406"/>
      <c r="AP430" s="406"/>
      <c r="AQ430" s="406"/>
      <c r="AR430" s="406"/>
    </row>
    <row r="431">
      <c r="A431" s="294"/>
      <c r="B431" s="294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294"/>
      <c r="P431" s="406"/>
      <c r="Q431" s="406"/>
      <c r="R431" s="406"/>
      <c r="S431" s="406"/>
      <c r="T431" s="294"/>
      <c r="U431" s="406"/>
      <c r="V431" s="406"/>
      <c r="W431" s="406"/>
      <c r="X431" s="406"/>
      <c r="Y431" s="294"/>
      <c r="Z431" s="406"/>
      <c r="AA431" s="406"/>
      <c r="AB431" s="406"/>
      <c r="AC431" s="406"/>
      <c r="AD431" s="294"/>
      <c r="AE431" s="406"/>
      <c r="AF431" s="406"/>
      <c r="AG431" s="406"/>
      <c r="AH431" s="406"/>
      <c r="AI431" s="294"/>
      <c r="AJ431" s="406"/>
      <c r="AK431" s="406"/>
      <c r="AL431" s="406"/>
      <c r="AM431" s="406"/>
      <c r="AN431" s="294"/>
      <c r="AO431" s="406"/>
      <c r="AP431" s="406"/>
      <c r="AQ431" s="406"/>
      <c r="AR431" s="406"/>
    </row>
    <row r="432">
      <c r="A432" s="294"/>
      <c r="B432" s="294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294"/>
      <c r="P432" s="406"/>
      <c r="Q432" s="406"/>
      <c r="R432" s="406"/>
      <c r="S432" s="406"/>
      <c r="T432" s="294"/>
      <c r="U432" s="406"/>
      <c r="V432" s="406"/>
      <c r="W432" s="406"/>
      <c r="X432" s="406"/>
      <c r="Y432" s="294"/>
      <c r="Z432" s="406"/>
      <c r="AA432" s="406"/>
      <c r="AB432" s="406"/>
      <c r="AC432" s="406"/>
      <c r="AD432" s="294"/>
      <c r="AE432" s="406"/>
      <c r="AF432" s="406"/>
      <c r="AG432" s="406"/>
      <c r="AH432" s="406"/>
      <c r="AI432" s="294"/>
      <c r="AJ432" s="406"/>
      <c r="AK432" s="406"/>
      <c r="AL432" s="406"/>
      <c r="AM432" s="406"/>
      <c r="AN432" s="294"/>
      <c r="AO432" s="406"/>
      <c r="AP432" s="406"/>
      <c r="AQ432" s="406"/>
      <c r="AR432" s="406"/>
    </row>
    <row r="433">
      <c r="A433" s="294"/>
      <c r="B433" s="294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294"/>
      <c r="P433" s="406"/>
      <c r="Q433" s="406"/>
      <c r="R433" s="406"/>
      <c r="S433" s="406"/>
      <c r="T433" s="294"/>
      <c r="U433" s="406"/>
      <c r="V433" s="406"/>
      <c r="W433" s="406"/>
      <c r="X433" s="406"/>
      <c r="Y433" s="294"/>
      <c r="Z433" s="406"/>
      <c r="AA433" s="406"/>
      <c r="AB433" s="406"/>
      <c r="AC433" s="406"/>
      <c r="AD433" s="294"/>
      <c r="AE433" s="406"/>
      <c r="AF433" s="406"/>
      <c r="AG433" s="406"/>
      <c r="AH433" s="406"/>
      <c r="AI433" s="294"/>
      <c r="AJ433" s="406"/>
      <c r="AK433" s="406"/>
      <c r="AL433" s="406"/>
      <c r="AM433" s="406"/>
      <c r="AN433" s="294"/>
      <c r="AO433" s="406"/>
      <c r="AP433" s="406"/>
      <c r="AQ433" s="406"/>
      <c r="AR433" s="406"/>
    </row>
    <row r="434">
      <c r="A434" s="294"/>
      <c r="B434" s="294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294"/>
      <c r="P434" s="406"/>
      <c r="Q434" s="406"/>
      <c r="R434" s="406"/>
      <c r="S434" s="406"/>
      <c r="T434" s="294"/>
      <c r="U434" s="406"/>
      <c r="V434" s="406"/>
      <c r="W434" s="406"/>
      <c r="X434" s="406"/>
      <c r="Y434" s="294"/>
      <c r="Z434" s="406"/>
      <c r="AA434" s="406"/>
      <c r="AB434" s="406"/>
      <c r="AC434" s="406"/>
      <c r="AD434" s="294"/>
      <c r="AE434" s="406"/>
      <c r="AF434" s="406"/>
      <c r="AG434" s="406"/>
      <c r="AH434" s="406"/>
      <c r="AI434" s="294"/>
      <c r="AJ434" s="406"/>
      <c r="AK434" s="406"/>
      <c r="AL434" s="406"/>
      <c r="AM434" s="406"/>
      <c r="AN434" s="294"/>
      <c r="AO434" s="406"/>
      <c r="AP434" s="406"/>
      <c r="AQ434" s="406"/>
      <c r="AR434" s="406"/>
    </row>
    <row r="435">
      <c r="A435" s="294"/>
      <c r="B435" s="294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294"/>
      <c r="P435" s="406"/>
      <c r="Q435" s="406"/>
      <c r="R435" s="406"/>
      <c r="S435" s="406"/>
      <c r="T435" s="294"/>
      <c r="U435" s="406"/>
      <c r="V435" s="406"/>
      <c r="W435" s="406"/>
      <c r="X435" s="406"/>
      <c r="Y435" s="294"/>
      <c r="Z435" s="406"/>
      <c r="AA435" s="406"/>
      <c r="AB435" s="406"/>
      <c r="AC435" s="406"/>
      <c r="AD435" s="294"/>
      <c r="AE435" s="406"/>
      <c r="AF435" s="406"/>
      <c r="AG435" s="406"/>
      <c r="AH435" s="406"/>
      <c r="AI435" s="294"/>
      <c r="AJ435" s="406"/>
      <c r="AK435" s="406"/>
      <c r="AL435" s="406"/>
      <c r="AM435" s="406"/>
      <c r="AN435" s="294"/>
      <c r="AO435" s="406"/>
      <c r="AP435" s="406"/>
      <c r="AQ435" s="406"/>
      <c r="AR435" s="406"/>
    </row>
    <row r="436">
      <c r="A436" s="294"/>
      <c r="B436" s="294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294"/>
      <c r="P436" s="406"/>
      <c r="Q436" s="406"/>
      <c r="R436" s="406"/>
      <c r="S436" s="406"/>
      <c r="T436" s="294"/>
      <c r="U436" s="406"/>
      <c r="V436" s="406"/>
      <c r="W436" s="406"/>
      <c r="X436" s="406"/>
      <c r="Y436" s="294"/>
      <c r="Z436" s="406"/>
      <c r="AA436" s="406"/>
      <c r="AB436" s="406"/>
      <c r="AC436" s="406"/>
      <c r="AD436" s="294"/>
      <c r="AE436" s="406"/>
      <c r="AF436" s="406"/>
      <c r="AG436" s="406"/>
      <c r="AH436" s="406"/>
      <c r="AI436" s="294"/>
      <c r="AJ436" s="406"/>
      <c r="AK436" s="406"/>
      <c r="AL436" s="406"/>
      <c r="AM436" s="406"/>
      <c r="AN436" s="294"/>
      <c r="AO436" s="406"/>
      <c r="AP436" s="406"/>
      <c r="AQ436" s="406"/>
      <c r="AR436" s="406"/>
    </row>
    <row r="437">
      <c r="A437" s="294"/>
      <c r="B437" s="294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294"/>
      <c r="P437" s="406"/>
      <c r="Q437" s="406"/>
      <c r="R437" s="406"/>
      <c r="S437" s="406"/>
      <c r="T437" s="294"/>
      <c r="U437" s="406"/>
      <c r="V437" s="406"/>
      <c r="W437" s="406"/>
      <c r="X437" s="406"/>
      <c r="Y437" s="294"/>
      <c r="Z437" s="406"/>
      <c r="AA437" s="406"/>
      <c r="AB437" s="406"/>
      <c r="AC437" s="406"/>
      <c r="AD437" s="294"/>
      <c r="AE437" s="406"/>
      <c r="AF437" s="406"/>
      <c r="AG437" s="406"/>
      <c r="AH437" s="406"/>
      <c r="AI437" s="294"/>
      <c r="AJ437" s="406"/>
      <c r="AK437" s="406"/>
      <c r="AL437" s="406"/>
      <c r="AM437" s="406"/>
      <c r="AN437" s="294"/>
      <c r="AO437" s="406"/>
      <c r="AP437" s="406"/>
      <c r="AQ437" s="406"/>
      <c r="AR437" s="406"/>
    </row>
    <row r="438">
      <c r="A438" s="294"/>
      <c r="B438" s="294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294"/>
      <c r="P438" s="406"/>
      <c r="Q438" s="406"/>
      <c r="R438" s="406"/>
      <c r="S438" s="406"/>
      <c r="T438" s="294"/>
      <c r="U438" s="406"/>
      <c r="V438" s="406"/>
      <c r="W438" s="406"/>
      <c r="X438" s="406"/>
      <c r="Y438" s="294"/>
      <c r="Z438" s="406"/>
      <c r="AA438" s="406"/>
      <c r="AB438" s="406"/>
      <c r="AC438" s="406"/>
      <c r="AD438" s="294"/>
      <c r="AE438" s="406"/>
      <c r="AF438" s="406"/>
      <c r="AG438" s="406"/>
      <c r="AH438" s="406"/>
      <c r="AI438" s="294"/>
      <c r="AJ438" s="406"/>
      <c r="AK438" s="406"/>
      <c r="AL438" s="406"/>
      <c r="AM438" s="406"/>
      <c r="AN438" s="294"/>
      <c r="AO438" s="406"/>
      <c r="AP438" s="406"/>
      <c r="AQ438" s="406"/>
      <c r="AR438" s="406"/>
    </row>
    <row r="439">
      <c r="A439" s="294"/>
      <c r="B439" s="294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294"/>
      <c r="P439" s="406"/>
      <c r="Q439" s="406"/>
      <c r="R439" s="406"/>
      <c r="S439" s="406"/>
      <c r="T439" s="294"/>
      <c r="U439" s="406"/>
      <c r="V439" s="406"/>
      <c r="W439" s="406"/>
      <c r="X439" s="406"/>
      <c r="Y439" s="294"/>
      <c r="Z439" s="406"/>
      <c r="AA439" s="406"/>
      <c r="AB439" s="406"/>
      <c r="AC439" s="406"/>
      <c r="AD439" s="294"/>
      <c r="AE439" s="406"/>
      <c r="AF439" s="406"/>
      <c r="AG439" s="406"/>
      <c r="AH439" s="406"/>
      <c r="AI439" s="294"/>
      <c r="AJ439" s="406"/>
      <c r="AK439" s="406"/>
      <c r="AL439" s="406"/>
      <c r="AM439" s="406"/>
      <c r="AN439" s="294"/>
      <c r="AO439" s="406"/>
      <c r="AP439" s="406"/>
      <c r="AQ439" s="406"/>
      <c r="AR439" s="406"/>
    </row>
    <row r="440">
      <c r="A440" s="294"/>
      <c r="B440" s="294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294"/>
      <c r="P440" s="406"/>
      <c r="Q440" s="406"/>
      <c r="R440" s="406"/>
      <c r="S440" s="406"/>
      <c r="T440" s="294"/>
      <c r="U440" s="406"/>
      <c r="V440" s="406"/>
      <c r="W440" s="406"/>
      <c r="X440" s="406"/>
      <c r="Y440" s="294"/>
      <c r="Z440" s="406"/>
      <c r="AA440" s="406"/>
      <c r="AB440" s="406"/>
      <c r="AC440" s="406"/>
      <c r="AD440" s="294"/>
      <c r="AE440" s="406"/>
      <c r="AF440" s="406"/>
      <c r="AG440" s="406"/>
      <c r="AH440" s="406"/>
      <c r="AI440" s="294"/>
      <c r="AJ440" s="406"/>
      <c r="AK440" s="406"/>
      <c r="AL440" s="406"/>
      <c r="AM440" s="406"/>
      <c r="AN440" s="294"/>
      <c r="AO440" s="406"/>
      <c r="AP440" s="406"/>
      <c r="AQ440" s="406"/>
      <c r="AR440" s="406"/>
    </row>
    <row r="441">
      <c r="A441" s="294"/>
      <c r="B441" s="294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294"/>
      <c r="P441" s="406"/>
      <c r="Q441" s="406"/>
      <c r="R441" s="406"/>
      <c r="S441" s="406"/>
      <c r="T441" s="294"/>
      <c r="U441" s="406"/>
      <c r="V441" s="406"/>
      <c r="W441" s="406"/>
      <c r="X441" s="406"/>
      <c r="Y441" s="294"/>
      <c r="Z441" s="406"/>
      <c r="AA441" s="406"/>
      <c r="AB441" s="406"/>
      <c r="AC441" s="406"/>
      <c r="AD441" s="294"/>
      <c r="AE441" s="406"/>
      <c r="AF441" s="406"/>
      <c r="AG441" s="406"/>
      <c r="AH441" s="406"/>
      <c r="AI441" s="294"/>
      <c r="AJ441" s="406"/>
      <c r="AK441" s="406"/>
      <c r="AL441" s="406"/>
      <c r="AM441" s="406"/>
      <c r="AN441" s="294"/>
      <c r="AO441" s="406"/>
      <c r="AP441" s="406"/>
      <c r="AQ441" s="406"/>
      <c r="AR441" s="406"/>
    </row>
    <row r="442">
      <c r="A442" s="294"/>
      <c r="B442" s="294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294"/>
      <c r="P442" s="406"/>
      <c r="Q442" s="406"/>
      <c r="R442" s="406"/>
      <c r="S442" s="406"/>
      <c r="T442" s="294"/>
      <c r="U442" s="406"/>
      <c r="V442" s="406"/>
      <c r="W442" s="406"/>
      <c r="X442" s="406"/>
      <c r="Y442" s="294"/>
      <c r="Z442" s="406"/>
      <c r="AA442" s="406"/>
      <c r="AB442" s="406"/>
      <c r="AC442" s="406"/>
      <c r="AD442" s="294"/>
      <c r="AE442" s="406"/>
      <c r="AF442" s="406"/>
      <c r="AG442" s="406"/>
      <c r="AH442" s="406"/>
      <c r="AI442" s="294"/>
      <c r="AJ442" s="406"/>
      <c r="AK442" s="406"/>
      <c r="AL442" s="406"/>
      <c r="AM442" s="406"/>
      <c r="AN442" s="294"/>
      <c r="AO442" s="406"/>
      <c r="AP442" s="406"/>
      <c r="AQ442" s="406"/>
      <c r="AR442" s="406"/>
    </row>
    <row r="443">
      <c r="A443" s="294"/>
      <c r="B443" s="294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294"/>
      <c r="P443" s="406"/>
      <c r="Q443" s="406"/>
      <c r="R443" s="406"/>
      <c r="S443" s="406"/>
      <c r="T443" s="294"/>
      <c r="U443" s="406"/>
      <c r="V443" s="406"/>
      <c r="W443" s="406"/>
      <c r="X443" s="406"/>
      <c r="Y443" s="294"/>
      <c r="Z443" s="406"/>
      <c r="AA443" s="406"/>
      <c r="AB443" s="406"/>
      <c r="AC443" s="406"/>
      <c r="AD443" s="294"/>
      <c r="AE443" s="406"/>
      <c r="AF443" s="406"/>
      <c r="AG443" s="406"/>
      <c r="AH443" s="406"/>
      <c r="AI443" s="294"/>
      <c r="AJ443" s="406"/>
      <c r="AK443" s="406"/>
      <c r="AL443" s="406"/>
      <c r="AM443" s="406"/>
      <c r="AN443" s="294"/>
      <c r="AO443" s="406"/>
      <c r="AP443" s="406"/>
      <c r="AQ443" s="406"/>
      <c r="AR443" s="406"/>
    </row>
    <row r="444">
      <c r="A444" s="294"/>
      <c r="B444" s="294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294"/>
      <c r="P444" s="406"/>
      <c r="Q444" s="406"/>
      <c r="R444" s="406"/>
      <c r="S444" s="406"/>
      <c r="T444" s="294"/>
      <c r="U444" s="406"/>
      <c r="V444" s="406"/>
      <c r="W444" s="406"/>
      <c r="X444" s="406"/>
      <c r="Y444" s="294"/>
      <c r="Z444" s="406"/>
      <c r="AA444" s="406"/>
      <c r="AB444" s="406"/>
      <c r="AC444" s="406"/>
      <c r="AD444" s="294"/>
      <c r="AE444" s="406"/>
      <c r="AF444" s="406"/>
      <c r="AG444" s="406"/>
      <c r="AH444" s="406"/>
      <c r="AI444" s="294"/>
      <c r="AJ444" s="406"/>
      <c r="AK444" s="406"/>
      <c r="AL444" s="406"/>
      <c r="AM444" s="406"/>
      <c r="AN444" s="294"/>
      <c r="AO444" s="406"/>
      <c r="AP444" s="406"/>
      <c r="AQ444" s="406"/>
      <c r="AR444" s="406"/>
    </row>
    <row r="445">
      <c r="A445" s="294"/>
      <c r="B445" s="294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294"/>
      <c r="P445" s="406"/>
      <c r="Q445" s="406"/>
      <c r="R445" s="406"/>
      <c r="S445" s="406"/>
      <c r="T445" s="294"/>
      <c r="U445" s="406"/>
      <c r="V445" s="406"/>
      <c r="W445" s="406"/>
      <c r="X445" s="406"/>
      <c r="Y445" s="294"/>
      <c r="Z445" s="406"/>
      <c r="AA445" s="406"/>
      <c r="AB445" s="406"/>
      <c r="AC445" s="406"/>
      <c r="AD445" s="294"/>
      <c r="AE445" s="406"/>
      <c r="AF445" s="406"/>
      <c r="AG445" s="406"/>
      <c r="AH445" s="406"/>
      <c r="AI445" s="294"/>
      <c r="AJ445" s="406"/>
      <c r="AK445" s="406"/>
      <c r="AL445" s="406"/>
      <c r="AM445" s="406"/>
      <c r="AN445" s="294"/>
      <c r="AO445" s="406"/>
      <c r="AP445" s="406"/>
      <c r="AQ445" s="406"/>
      <c r="AR445" s="406"/>
    </row>
    <row r="446">
      <c r="A446" s="294"/>
      <c r="B446" s="294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294"/>
      <c r="P446" s="406"/>
      <c r="Q446" s="406"/>
      <c r="R446" s="406"/>
      <c r="S446" s="406"/>
      <c r="T446" s="294"/>
      <c r="U446" s="406"/>
      <c r="V446" s="406"/>
      <c r="W446" s="406"/>
      <c r="X446" s="406"/>
      <c r="Y446" s="294"/>
      <c r="Z446" s="406"/>
      <c r="AA446" s="406"/>
      <c r="AB446" s="406"/>
      <c r="AC446" s="406"/>
      <c r="AD446" s="294"/>
      <c r="AE446" s="406"/>
      <c r="AF446" s="406"/>
      <c r="AG446" s="406"/>
      <c r="AH446" s="406"/>
      <c r="AI446" s="294"/>
      <c r="AJ446" s="406"/>
      <c r="AK446" s="406"/>
      <c r="AL446" s="406"/>
      <c r="AM446" s="406"/>
      <c r="AN446" s="294"/>
      <c r="AO446" s="406"/>
      <c r="AP446" s="406"/>
      <c r="AQ446" s="406"/>
      <c r="AR446" s="406"/>
    </row>
    <row r="447">
      <c r="A447" s="294"/>
      <c r="B447" s="294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294"/>
      <c r="P447" s="406"/>
      <c r="Q447" s="406"/>
      <c r="R447" s="406"/>
      <c r="S447" s="406"/>
      <c r="T447" s="294"/>
      <c r="U447" s="406"/>
      <c r="V447" s="406"/>
      <c r="W447" s="406"/>
      <c r="X447" s="406"/>
      <c r="Y447" s="294"/>
      <c r="Z447" s="406"/>
      <c r="AA447" s="406"/>
      <c r="AB447" s="406"/>
      <c r="AC447" s="406"/>
      <c r="AD447" s="294"/>
      <c r="AE447" s="406"/>
      <c r="AF447" s="406"/>
      <c r="AG447" s="406"/>
      <c r="AH447" s="406"/>
      <c r="AI447" s="294"/>
      <c r="AJ447" s="406"/>
      <c r="AK447" s="406"/>
      <c r="AL447" s="406"/>
      <c r="AM447" s="406"/>
      <c r="AN447" s="294"/>
      <c r="AO447" s="406"/>
      <c r="AP447" s="406"/>
      <c r="AQ447" s="406"/>
      <c r="AR447" s="406"/>
    </row>
    <row r="448">
      <c r="A448" s="294"/>
      <c r="B448" s="294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294"/>
      <c r="P448" s="406"/>
      <c r="Q448" s="406"/>
      <c r="R448" s="406"/>
      <c r="S448" s="406"/>
      <c r="T448" s="294"/>
      <c r="U448" s="406"/>
      <c r="V448" s="406"/>
      <c r="W448" s="406"/>
      <c r="X448" s="406"/>
      <c r="Y448" s="294"/>
      <c r="Z448" s="406"/>
      <c r="AA448" s="406"/>
      <c r="AB448" s="406"/>
      <c r="AC448" s="406"/>
      <c r="AD448" s="294"/>
      <c r="AE448" s="406"/>
      <c r="AF448" s="406"/>
      <c r="AG448" s="406"/>
      <c r="AH448" s="406"/>
      <c r="AI448" s="294"/>
      <c r="AJ448" s="406"/>
      <c r="AK448" s="406"/>
      <c r="AL448" s="406"/>
      <c r="AM448" s="406"/>
      <c r="AN448" s="294"/>
      <c r="AO448" s="406"/>
      <c r="AP448" s="406"/>
      <c r="AQ448" s="406"/>
      <c r="AR448" s="406"/>
    </row>
    <row r="449">
      <c r="A449" s="294"/>
      <c r="B449" s="294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294"/>
      <c r="P449" s="406"/>
      <c r="Q449" s="406"/>
      <c r="R449" s="406"/>
      <c r="S449" s="406"/>
      <c r="T449" s="294"/>
      <c r="U449" s="406"/>
      <c r="V449" s="406"/>
      <c r="W449" s="406"/>
      <c r="X449" s="406"/>
      <c r="Y449" s="294"/>
      <c r="Z449" s="406"/>
      <c r="AA449" s="406"/>
      <c r="AB449" s="406"/>
      <c r="AC449" s="406"/>
      <c r="AD449" s="294"/>
      <c r="AE449" s="406"/>
      <c r="AF449" s="406"/>
      <c r="AG449" s="406"/>
      <c r="AH449" s="406"/>
      <c r="AI449" s="294"/>
      <c r="AJ449" s="406"/>
      <c r="AK449" s="406"/>
      <c r="AL449" s="406"/>
      <c r="AM449" s="406"/>
      <c r="AN449" s="294"/>
      <c r="AO449" s="406"/>
      <c r="AP449" s="406"/>
      <c r="AQ449" s="406"/>
      <c r="AR449" s="406"/>
    </row>
    <row r="450">
      <c r="A450" s="294"/>
      <c r="B450" s="294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294"/>
      <c r="P450" s="406"/>
      <c r="Q450" s="406"/>
      <c r="R450" s="406"/>
      <c r="S450" s="406"/>
      <c r="T450" s="294"/>
      <c r="U450" s="406"/>
      <c r="V450" s="406"/>
      <c r="W450" s="406"/>
      <c r="X450" s="406"/>
      <c r="Y450" s="294"/>
      <c r="Z450" s="406"/>
      <c r="AA450" s="406"/>
      <c r="AB450" s="406"/>
      <c r="AC450" s="406"/>
      <c r="AD450" s="294"/>
      <c r="AE450" s="406"/>
      <c r="AF450" s="406"/>
      <c r="AG450" s="406"/>
      <c r="AH450" s="406"/>
      <c r="AI450" s="294"/>
      <c r="AJ450" s="406"/>
      <c r="AK450" s="406"/>
      <c r="AL450" s="406"/>
      <c r="AM450" s="406"/>
      <c r="AN450" s="294"/>
      <c r="AO450" s="406"/>
      <c r="AP450" s="406"/>
      <c r="AQ450" s="406"/>
      <c r="AR450" s="406"/>
    </row>
    <row r="451">
      <c r="A451" s="294"/>
      <c r="B451" s="294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294"/>
      <c r="P451" s="406"/>
      <c r="Q451" s="406"/>
      <c r="R451" s="406"/>
      <c r="S451" s="406"/>
      <c r="T451" s="294"/>
      <c r="U451" s="406"/>
      <c r="V451" s="406"/>
      <c r="W451" s="406"/>
      <c r="X451" s="406"/>
      <c r="Y451" s="294"/>
      <c r="Z451" s="406"/>
      <c r="AA451" s="406"/>
      <c r="AB451" s="406"/>
      <c r="AC451" s="406"/>
      <c r="AD451" s="294"/>
      <c r="AE451" s="406"/>
      <c r="AF451" s="406"/>
      <c r="AG451" s="406"/>
      <c r="AH451" s="406"/>
      <c r="AI451" s="294"/>
      <c r="AJ451" s="406"/>
      <c r="AK451" s="406"/>
      <c r="AL451" s="406"/>
      <c r="AM451" s="406"/>
      <c r="AN451" s="294"/>
      <c r="AO451" s="406"/>
      <c r="AP451" s="406"/>
      <c r="AQ451" s="406"/>
      <c r="AR451" s="406"/>
    </row>
    <row r="452">
      <c r="A452" s="294"/>
      <c r="B452" s="294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294"/>
      <c r="P452" s="406"/>
      <c r="Q452" s="406"/>
      <c r="R452" s="406"/>
      <c r="S452" s="406"/>
      <c r="T452" s="294"/>
      <c r="U452" s="406"/>
      <c r="V452" s="406"/>
      <c r="W452" s="406"/>
      <c r="X452" s="406"/>
      <c r="Y452" s="294"/>
      <c r="Z452" s="406"/>
      <c r="AA452" s="406"/>
      <c r="AB452" s="406"/>
      <c r="AC452" s="406"/>
      <c r="AD452" s="294"/>
      <c r="AE452" s="406"/>
      <c r="AF452" s="406"/>
      <c r="AG452" s="406"/>
      <c r="AH452" s="406"/>
      <c r="AI452" s="294"/>
      <c r="AJ452" s="406"/>
      <c r="AK452" s="406"/>
      <c r="AL452" s="406"/>
      <c r="AM452" s="406"/>
      <c r="AN452" s="294"/>
      <c r="AO452" s="406"/>
      <c r="AP452" s="406"/>
      <c r="AQ452" s="406"/>
      <c r="AR452" s="406"/>
    </row>
    <row r="453">
      <c r="A453" s="294"/>
      <c r="B453" s="294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294"/>
      <c r="P453" s="406"/>
      <c r="Q453" s="406"/>
      <c r="R453" s="406"/>
      <c r="S453" s="406"/>
      <c r="T453" s="294"/>
      <c r="U453" s="406"/>
      <c r="V453" s="406"/>
      <c r="W453" s="406"/>
      <c r="X453" s="406"/>
      <c r="Y453" s="294"/>
      <c r="Z453" s="406"/>
      <c r="AA453" s="406"/>
      <c r="AB453" s="406"/>
      <c r="AC453" s="406"/>
      <c r="AD453" s="294"/>
      <c r="AE453" s="406"/>
      <c r="AF453" s="406"/>
      <c r="AG453" s="406"/>
      <c r="AH453" s="406"/>
      <c r="AI453" s="294"/>
      <c r="AJ453" s="406"/>
      <c r="AK453" s="406"/>
      <c r="AL453" s="406"/>
      <c r="AM453" s="406"/>
      <c r="AN453" s="294"/>
      <c r="AO453" s="406"/>
      <c r="AP453" s="406"/>
      <c r="AQ453" s="406"/>
      <c r="AR453" s="406"/>
    </row>
    <row r="454">
      <c r="A454" s="294"/>
      <c r="B454" s="294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294"/>
      <c r="P454" s="406"/>
      <c r="Q454" s="406"/>
      <c r="R454" s="406"/>
      <c r="S454" s="406"/>
      <c r="T454" s="294"/>
      <c r="U454" s="406"/>
      <c r="V454" s="406"/>
      <c r="W454" s="406"/>
      <c r="X454" s="406"/>
      <c r="Y454" s="294"/>
      <c r="Z454" s="406"/>
      <c r="AA454" s="406"/>
      <c r="AB454" s="406"/>
      <c r="AC454" s="406"/>
      <c r="AD454" s="294"/>
      <c r="AE454" s="406"/>
      <c r="AF454" s="406"/>
      <c r="AG454" s="406"/>
      <c r="AH454" s="406"/>
      <c r="AI454" s="294"/>
      <c r="AJ454" s="406"/>
      <c r="AK454" s="406"/>
      <c r="AL454" s="406"/>
      <c r="AM454" s="406"/>
      <c r="AN454" s="294"/>
      <c r="AO454" s="406"/>
      <c r="AP454" s="406"/>
      <c r="AQ454" s="406"/>
      <c r="AR454" s="406"/>
    </row>
    <row r="455">
      <c r="A455" s="294"/>
      <c r="B455" s="294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294"/>
      <c r="P455" s="406"/>
      <c r="Q455" s="406"/>
      <c r="R455" s="406"/>
      <c r="S455" s="406"/>
      <c r="T455" s="294"/>
      <c r="U455" s="406"/>
      <c r="V455" s="406"/>
      <c r="W455" s="406"/>
      <c r="X455" s="406"/>
      <c r="Y455" s="294"/>
      <c r="Z455" s="406"/>
      <c r="AA455" s="406"/>
      <c r="AB455" s="406"/>
      <c r="AC455" s="406"/>
      <c r="AD455" s="294"/>
      <c r="AE455" s="406"/>
      <c r="AF455" s="406"/>
      <c r="AG455" s="406"/>
      <c r="AH455" s="406"/>
      <c r="AI455" s="294"/>
      <c r="AJ455" s="406"/>
      <c r="AK455" s="406"/>
      <c r="AL455" s="406"/>
      <c r="AM455" s="406"/>
      <c r="AN455" s="294"/>
      <c r="AO455" s="406"/>
      <c r="AP455" s="406"/>
      <c r="AQ455" s="406"/>
      <c r="AR455" s="406"/>
    </row>
    <row r="456">
      <c r="A456" s="294"/>
      <c r="B456" s="294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294"/>
      <c r="P456" s="406"/>
      <c r="Q456" s="406"/>
      <c r="R456" s="406"/>
      <c r="S456" s="406"/>
      <c r="T456" s="294"/>
      <c r="U456" s="406"/>
      <c r="V456" s="406"/>
      <c r="W456" s="406"/>
      <c r="X456" s="406"/>
      <c r="Y456" s="294"/>
      <c r="Z456" s="406"/>
      <c r="AA456" s="406"/>
      <c r="AB456" s="406"/>
      <c r="AC456" s="406"/>
      <c r="AD456" s="294"/>
      <c r="AE456" s="406"/>
      <c r="AF456" s="406"/>
      <c r="AG456" s="406"/>
      <c r="AH456" s="406"/>
      <c r="AI456" s="294"/>
      <c r="AJ456" s="406"/>
      <c r="AK456" s="406"/>
      <c r="AL456" s="406"/>
      <c r="AM456" s="406"/>
      <c r="AN456" s="294"/>
      <c r="AO456" s="406"/>
      <c r="AP456" s="406"/>
      <c r="AQ456" s="406"/>
      <c r="AR456" s="406"/>
    </row>
    <row r="457">
      <c r="A457" s="294"/>
      <c r="B457" s="294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294"/>
      <c r="P457" s="406"/>
      <c r="Q457" s="406"/>
      <c r="R457" s="406"/>
      <c r="S457" s="406"/>
      <c r="T457" s="294"/>
      <c r="U457" s="406"/>
      <c r="V457" s="406"/>
      <c r="W457" s="406"/>
      <c r="X457" s="406"/>
      <c r="Y457" s="294"/>
      <c r="Z457" s="406"/>
      <c r="AA457" s="406"/>
      <c r="AB457" s="406"/>
      <c r="AC457" s="406"/>
      <c r="AD457" s="294"/>
      <c r="AE457" s="406"/>
      <c r="AF457" s="406"/>
      <c r="AG457" s="406"/>
      <c r="AH457" s="406"/>
      <c r="AI457" s="294"/>
      <c r="AJ457" s="406"/>
      <c r="AK457" s="406"/>
      <c r="AL457" s="406"/>
      <c r="AM457" s="406"/>
      <c r="AN457" s="294"/>
      <c r="AO457" s="406"/>
      <c r="AP457" s="406"/>
      <c r="AQ457" s="406"/>
      <c r="AR457" s="406"/>
    </row>
    <row r="458">
      <c r="A458" s="294"/>
      <c r="B458" s="294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294"/>
      <c r="P458" s="406"/>
      <c r="Q458" s="406"/>
      <c r="R458" s="406"/>
      <c r="S458" s="406"/>
      <c r="T458" s="294"/>
      <c r="U458" s="406"/>
      <c r="V458" s="406"/>
      <c r="W458" s="406"/>
      <c r="X458" s="406"/>
      <c r="Y458" s="294"/>
      <c r="Z458" s="406"/>
      <c r="AA458" s="406"/>
      <c r="AB458" s="406"/>
      <c r="AC458" s="406"/>
      <c r="AD458" s="294"/>
      <c r="AE458" s="406"/>
      <c r="AF458" s="406"/>
      <c r="AG458" s="406"/>
      <c r="AH458" s="406"/>
      <c r="AI458" s="294"/>
      <c r="AJ458" s="406"/>
      <c r="AK458" s="406"/>
      <c r="AL458" s="406"/>
      <c r="AM458" s="406"/>
      <c r="AN458" s="294"/>
      <c r="AO458" s="406"/>
      <c r="AP458" s="406"/>
      <c r="AQ458" s="406"/>
      <c r="AR458" s="406"/>
    </row>
    <row r="459">
      <c r="A459" s="294"/>
      <c r="B459" s="294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294"/>
      <c r="P459" s="406"/>
      <c r="Q459" s="406"/>
      <c r="R459" s="406"/>
      <c r="S459" s="406"/>
      <c r="T459" s="294"/>
      <c r="U459" s="406"/>
      <c r="V459" s="406"/>
      <c r="W459" s="406"/>
      <c r="X459" s="406"/>
      <c r="Y459" s="294"/>
      <c r="Z459" s="406"/>
      <c r="AA459" s="406"/>
      <c r="AB459" s="406"/>
      <c r="AC459" s="406"/>
      <c r="AD459" s="294"/>
      <c r="AE459" s="406"/>
      <c r="AF459" s="406"/>
      <c r="AG459" s="406"/>
      <c r="AH459" s="406"/>
      <c r="AI459" s="294"/>
      <c r="AJ459" s="406"/>
      <c r="AK459" s="406"/>
      <c r="AL459" s="406"/>
      <c r="AM459" s="406"/>
      <c r="AN459" s="294"/>
      <c r="AO459" s="406"/>
      <c r="AP459" s="406"/>
      <c r="AQ459" s="406"/>
      <c r="AR459" s="406"/>
    </row>
    <row r="460">
      <c r="A460" s="294"/>
      <c r="B460" s="294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294"/>
      <c r="P460" s="406"/>
      <c r="Q460" s="406"/>
      <c r="R460" s="406"/>
      <c r="S460" s="406"/>
      <c r="T460" s="294"/>
      <c r="U460" s="406"/>
      <c r="V460" s="406"/>
      <c r="W460" s="406"/>
      <c r="X460" s="406"/>
      <c r="Y460" s="294"/>
      <c r="Z460" s="406"/>
      <c r="AA460" s="406"/>
      <c r="AB460" s="406"/>
      <c r="AC460" s="406"/>
      <c r="AD460" s="294"/>
      <c r="AE460" s="406"/>
      <c r="AF460" s="406"/>
      <c r="AG460" s="406"/>
      <c r="AH460" s="406"/>
      <c r="AI460" s="294"/>
      <c r="AJ460" s="406"/>
      <c r="AK460" s="406"/>
      <c r="AL460" s="406"/>
      <c r="AM460" s="406"/>
      <c r="AN460" s="294"/>
      <c r="AO460" s="406"/>
      <c r="AP460" s="406"/>
      <c r="AQ460" s="406"/>
      <c r="AR460" s="406"/>
    </row>
    <row r="461">
      <c r="A461" s="294"/>
      <c r="B461" s="294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294"/>
      <c r="P461" s="406"/>
      <c r="Q461" s="406"/>
      <c r="R461" s="406"/>
      <c r="S461" s="406"/>
      <c r="T461" s="294"/>
      <c r="U461" s="406"/>
      <c r="V461" s="406"/>
      <c r="W461" s="406"/>
      <c r="X461" s="406"/>
      <c r="Y461" s="294"/>
      <c r="Z461" s="406"/>
      <c r="AA461" s="406"/>
      <c r="AB461" s="406"/>
      <c r="AC461" s="406"/>
      <c r="AD461" s="294"/>
      <c r="AE461" s="406"/>
      <c r="AF461" s="406"/>
      <c r="AG461" s="406"/>
      <c r="AH461" s="406"/>
      <c r="AI461" s="294"/>
      <c r="AJ461" s="406"/>
      <c r="AK461" s="406"/>
      <c r="AL461" s="406"/>
      <c r="AM461" s="406"/>
      <c r="AN461" s="294"/>
      <c r="AO461" s="406"/>
      <c r="AP461" s="406"/>
      <c r="AQ461" s="406"/>
      <c r="AR461" s="406"/>
    </row>
    <row r="462">
      <c r="A462" s="294"/>
      <c r="B462" s="294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294"/>
      <c r="P462" s="406"/>
      <c r="Q462" s="406"/>
      <c r="R462" s="406"/>
      <c r="S462" s="406"/>
      <c r="T462" s="294"/>
      <c r="U462" s="406"/>
      <c r="V462" s="406"/>
      <c r="W462" s="406"/>
      <c r="X462" s="406"/>
      <c r="Y462" s="294"/>
      <c r="Z462" s="406"/>
      <c r="AA462" s="406"/>
      <c r="AB462" s="406"/>
      <c r="AC462" s="406"/>
      <c r="AD462" s="294"/>
      <c r="AE462" s="406"/>
      <c r="AF462" s="406"/>
      <c r="AG462" s="406"/>
      <c r="AH462" s="406"/>
      <c r="AI462" s="294"/>
      <c r="AJ462" s="406"/>
      <c r="AK462" s="406"/>
      <c r="AL462" s="406"/>
      <c r="AM462" s="406"/>
      <c r="AN462" s="294"/>
      <c r="AO462" s="406"/>
      <c r="AP462" s="406"/>
      <c r="AQ462" s="406"/>
      <c r="AR462" s="406"/>
    </row>
    <row r="463">
      <c r="A463" s="294"/>
      <c r="B463" s="294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294"/>
      <c r="P463" s="406"/>
      <c r="Q463" s="406"/>
      <c r="R463" s="406"/>
      <c r="S463" s="406"/>
      <c r="T463" s="294"/>
      <c r="U463" s="406"/>
      <c r="V463" s="406"/>
      <c r="W463" s="406"/>
      <c r="X463" s="406"/>
      <c r="Y463" s="294"/>
      <c r="Z463" s="406"/>
      <c r="AA463" s="406"/>
      <c r="AB463" s="406"/>
      <c r="AC463" s="406"/>
      <c r="AD463" s="294"/>
      <c r="AE463" s="406"/>
      <c r="AF463" s="406"/>
      <c r="AG463" s="406"/>
      <c r="AH463" s="406"/>
      <c r="AI463" s="294"/>
      <c r="AJ463" s="406"/>
      <c r="AK463" s="406"/>
      <c r="AL463" s="406"/>
      <c r="AM463" s="406"/>
      <c r="AN463" s="294"/>
      <c r="AO463" s="406"/>
      <c r="AP463" s="406"/>
      <c r="AQ463" s="406"/>
      <c r="AR463" s="406"/>
    </row>
    <row r="464">
      <c r="A464" s="294"/>
      <c r="B464" s="294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294"/>
      <c r="P464" s="406"/>
      <c r="Q464" s="406"/>
      <c r="R464" s="406"/>
      <c r="S464" s="406"/>
      <c r="T464" s="294"/>
      <c r="U464" s="406"/>
      <c r="V464" s="406"/>
      <c r="W464" s="406"/>
      <c r="X464" s="406"/>
      <c r="Y464" s="294"/>
      <c r="Z464" s="406"/>
      <c r="AA464" s="406"/>
      <c r="AB464" s="406"/>
      <c r="AC464" s="406"/>
      <c r="AD464" s="294"/>
      <c r="AE464" s="406"/>
      <c r="AF464" s="406"/>
      <c r="AG464" s="406"/>
      <c r="AH464" s="406"/>
      <c r="AI464" s="294"/>
      <c r="AJ464" s="406"/>
      <c r="AK464" s="406"/>
      <c r="AL464" s="406"/>
      <c r="AM464" s="406"/>
      <c r="AN464" s="294"/>
      <c r="AO464" s="406"/>
      <c r="AP464" s="406"/>
      <c r="AQ464" s="406"/>
      <c r="AR464" s="406"/>
    </row>
    <row r="465">
      <c r="A465" s="294"/>
      <c r="B465" s="294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294"/>
      <c r="P465" s="406"/>
      <c r="Q465" s="406"/>
      <c r="R465" s="406"/>
      <c r="S465" s="406"/>
      <c r="T465" s="294"/>
      <c r="U465" s="406"/>
      <c r="V465" s="406"/>
      <c r="W465" s="406"/>
      <c r="X465" s="406"/>
      <c r="Y465" s="294"/>
      <c r="Z465" s="406"/>
      <c r="AA465" s="406"/>
      <c r="AB465" s="406"/>
      <c r="AC465" s="406"/>
      <c r="AD465" s="294"/>
      <c r="AE465" s="406"/>
      <c r="AF465" s="406"/>
      <c r="AG465" s="406"/>
      <c r="AH465" s="406"/>
      <c r="AI465" s="294"/>
      <c r="AJ465" s="406"/>
      <c r="AK465" s="406"/>
      <c r="AL465" s="406"/>
      <c r="AM465" s="406"/>
      <c r="AN465" s="294"/>
      <c r="AO465" s="406"/>
      <c r="AP465" s="406"/>
      <c r="AQ465" s="406"/>
      <c r="AR465" s="406"/>
    </row>
    <row r="466">
      <c r="A466" s="294"/>
      <c r="B466" s="294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294"/>
      <c r="P466" s="406"/>
      <c r="Q466" s="406"/>
      <c r="R466" s="406"/>
      <c r="S466" s="406"/>
      <c r="T466" s="294"/>
      <c r="U466" s="406"/>
      <c r="V466" s="406"/>
      <c r="W466" s="406"/>
      <c r="X466" s="406"/>
      <c r="Y466" s="294"/>
      <c r="Z466" s="406"/>
      <c r="AA466" s="406"/>
      <c r="AB466" s="406"/>
      <c r="AC466" s="406"/>
      <c r="AD466" s="294"/>
      <c r="AE466" s="406"/>
      <c r="AF466" s="406"/>
      <c r="AG466" s="406"/>
      <c r="AH466" s="406"/>
      <c r="AI466" s="294"/>
      <c r="AJ466" s="406"/>
      <c r="AK466" s="406"/>
      <c r="AL466" s="406"/>
      <c r="AM466" s="406"/>
      <c r="AN466" s="294"/>
      <c r="AO466" s="406"/>
      <c r="AP466" s="406"/>
      <c r="AQ466" s="406"/>
      <c r="AR466" s="406"/>
    </row>
    <row r="467">
      <c r="A467" s="294"/>
      <c r="B467" s="294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294"/>
      <c r="P467" s="406"/>
      <c r="Q467" s="406"/>
      <c r="R467" s="406"/>
      <c r="S467" s="406"/>
      <c r="T467" s="294"/>
      <c r="U467" s="406"/>
      <c r="V467" s="406"/>
      <c r="W467" s="406"/>
      <c r="X467" s="406"/>
      <c r="Y467" s="294"/>
      <c r="Z467" s="406"/>
      <c r="AA467" s="406"/>
      <c r="AB467" s="406"/>
      <c r="AC467" s="406"/>
      <c r="AD467" s="294"/>
      <c r="AE467" s="406"/>
      <c r="AF467" s="406"/>
      <c r="AG467" s="406"/>
      <c r="AH467" s="406"/>
      <c r="AI467" s="294"/>
      <c r="AJ467" s="406"/>
      <c r="AK467" s="406"/>
      <c r="AL467" s="406"/>
      <c r="AM467" s="406"/>
      <c r="AN467" s="294"/>
      <c r="AO467" s="406"/>
      <c r="AP467" s="406"/>
      <c r="AQ467" s="406"/>
      <c r="AR467" s="406"/>
    </row>
    <row r="468">
      <c r="A468" s="294"/>
      <c r="B468" s="294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294"/>
      <c r="P468" s="406"/>
      <c r="Q468" s="406"/>
      <c r="R468" s="406"/>
      <c r="S468" s="406"/>
      <c r="T468" s="294"/>
      <c r="U468" s="406"/>
      <c r="V468" s="406"/>
      <c r="W468" s="406"/>
      <c r="X468" s="406"/>
      <c r="Y468" s="294"/>
      <c r="Z468" s="406"/>
      <c r="AA468" s="406"/>
      <c r="AB468" s="406"/>
      <c r="AC468" s="406"/>
      <c r="AD468" s="294"/>
      <c r="AE468" s="406"/>
      <c r="AF468" s="406"/>
      <c r="AG468" s="406"/>
      <c r="AH468" s="406"/>
      <c r="AI468" s="294"/>
      <c r="AJ468" s="406"/>
      <c r="AK468" s="406"/>
      <c r="AL468" s="406"/>
      <c r="AM468" s="406"/>
      <c r="AN468" s="294"/>
      <c r="AO468" s="406"/>
      <c r="AP468" s="406"/>
      <c r="AQ468" s="406"/>
      <c r="AR468" s="406"/>
    </row>
    <row r="469">
      <c r="A469" s="294"/>
      <c r="B469" s="294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294"/>
      <c r="P469" s="406"/>
      <c r="Q469" s="406"/>
      <c r="R469" s="406"/>
      <c r="S469" s="406"/>
      <c r="T469" s="294"/>
      <c r="U469" s="406"/>
      <c r="V469" s="406"/>
      <c r="W469" s="406"/>
      <c r="X469" s="406"/>
      <c r="Y469" s="294"/>
      <c r="Z469" s="406"/>
      <c r="AA469" s="406"/>
      <c r="AB469" s="406"/>
      <c r="AC469" s="406"/>
      <c r="AD469" s="294"/>
      <c r="AE469" s="406"/>
      <c r="AF469" s="406"/>
      <c r="AG469" s="406"/>
      <c r="AH469" s="406"/>
      <c r="AI469" s="294"/>
      <c r="AJ469" s="406"/>
      <c r="AK469" s="406"/>
      <c r="AL469" s="406"/>
      <c r="AM469" s="406"/>
      <c r="AN469" s="294"/>
      <c r="AO469" s="406"/>
      <c r="AP469" s="406"/>
      <c r="AQ469" s="406"/>
      <c r="AR469" s="406"/>
    </row>
    <row r="470">
      <c r="A470" s="294"/>
      <c r="B470" s="294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294"/>
      <c r="P470" s="406"/>
      <c r="Q470" s="406"/>
      <c r="R470" s="406"/>
      <c r="S470" s="406"/>
      <c r="T470" s="294"/>
      <c r="U470" s="406"/>
      <c r="V470" s="406"/>
      <c r="W470" s="406"/>
      <c r="X470" s="406"/>
      <c r="Y470" s="294"/>
      <c r="Z470" s="406"/>
      <c r="AA470" s="406"/>
      <c r="AB470" s="406"/>
      <c r="AC470" s="406"/>
      <c r="AD470" s="294"/>
      <c r="AE470" s="406"/>
      <c r="AF470" s="406"/>
      <c r="AG470" s="406"/>
      <c r="AH470" s="406"/>
      <c r="AI470" s="294"/>
      <c r="AJ470" s="406"/>
      <c r="AK470" s="406"/>
      <c r="AL470" s="406"/>
      <c r="AM470" s="406"/>
      <c r="AN470" s="294"/>
      <c r="AO470" s="406"/>
      <c r="AP470" s="406"/>
      <c r="AQ470" s="406"/>
      <c r="AR470" s="406"/>
    </row>
    <row r="471">
      <c r="A471" s="294"/>
      <c r="B471" s="294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294"/>
      <c r="P471" s="406"/>
      <c r="Q471" s="406"/>
      <c r="R471" s="406"/>
      <c r="S471" s="406"/>
      <c r="T471" s="294"/>
      <c r="U471" s="406"/>
      <c r="V471" s="406"/>
      <c r="W471" s="406"/>
      <c r="X471" s="406"/>
      <c r="Y471" s="294"/>
      <c r="Z471" s="406"/>
      <c r="AA471" s="406"/>
      <c r="AB471" s="406"/>
      <c r="AC471" s="406"/>
      <c r="AD471" s="294"/>
      <c r="AE471" s="406"/>
      <c r="AF471" s="406"/>
      <c r="AG471" s="406"/>
      <c r="AH471" s="406"/>
      <c r="AI471" s="294"/>
      <c r="AJ471" s="406"/>
      <c r="AK471" s="406"/>
      <c r="AL471" s="406"/>
      <c r="AM471" s="406"/>
      <c r="AN471" s="294"/>
      <c r="AO471" s="406"/>
      <c r="AP471" s="406"/>
      <c r="AQ471" s="406"/>
      <c r="AR471" s="406"/>
    </row>
    <row r="472">
      <c r="A472" s="294"/>
      <c r="B472" s="294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294"/>
      <c r="P472" s="406"/>
      <c r="Q472" s="406"/>
      <c r="R472" s="406"/>
      <c r="S472" s="406"/>
      <c r="T472" s="294"/>
      <c r="U472" s="406"/>
      <c r="V472" s="406"/>
      <c r="W472" s="406"/>
      <c r="X472" s="406"/>
      <c r="Y472" s="294"/>
      <c r="Z472" s="406"/>
      <c r="AA472" s="406"/>
      <c r="AB472" s="406"/>
      <c r="AC472" s="406"/>
      <c r="AD472" s="294"/>
      <c r="AE472" s="406"/>
      <c r="AF472" s="406"/>
      <c r="AG472" s="406"/>
      <c r="AH472" s="406"/>
      <c r="AI472" s="294"/>
      <c r="AJ472" s="406"/>
      <c r="AK472" s="406"/>
      <c r="AL472" s="406"/>
      <c r="AM472" s="406"/>
      <c r="AN472" s="294"/>
      <c r="AO472" s="406"/>
      <c r="AP472" s="406"/>
      <c r="AQ472" s="406"/>
      <c r="AR472" s="406"/>
    </row>
    <row r="473">
      <c r="A473" s="294"/>
      <c r="B473" s="294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294"/>
      <c r="P473" s="406"/>
      <c r="Q473" s="406"/>
      <c r="R473" s="406"/>
      <c r="S473" s="406"/>
      <c r="T473" s="294"/>
      <c r="U473" s="406"/>
      <c r="V473" s="406"/>
      <c r="W473" s="406"/>
      <c r="X473" s="406"/>
      <c r="Y473" s="294"/>
      <c r="Z473" s="406"/>
      <c r="AA473" s="406"/>
      <c r="AB473" s="406"/>
      <c r="AC473" s="406"/>
      <c r="AD473" s="294"/>
      <c r="AE473" s="406"/>
      <c r="AF473" s="406"/>
      <c r="AG473" s="406"/>
      <c r="AH473" s="406"/>
      <c r="AI473" s="294"/>
      <c r="AJ473" s="406"/>
      <c r="AK473" s="406"/>
      <c r="AL473" s="406"/>
      <c r="AM473" s="406"/>
      <c r="AN473" s="294"/>
      <c r="AO473" s="406"/>
      <c r="AP473" s="406"/>
      <c r="AQ473" s="406"/>
      <c r="AR473" s="406"/>
    </row>
    <row r="474">
      <c r="A474" s="294"/>
      <c r="B474" s="294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294"/>
      <c r="P474" s="406"/>
      <c r="Q474" s="406"/>
      <c r="R474" s="406"/>
      <c r="S474" s="406"/>
      <c r="T474" s="294"/>
      <c r="U474" s="406"/>
      <c r="V474" s="406"/>
      <c r="W474" s="406"/>
      <c r="X474" s="406"/>
      <c r="Y474" s="294"/>
      <c r="Z474" s="406"/>
      <c r="AA474" s="406"/>
      <c r="AB474" s="406"/>
      <c r="AC474" s="406"/>
      <c r="AD474" s="294"/>
      <c r="AE474" s="406"/>
      <c r="AF474" s="406"/>
      <c r="AG474" s="406"/>
      <c r="AH474" s="406"/>
      <c r="AI474" s="294"/>
      <c r="AJ474" s="406"/>
      <c r="AK474" s="406"/>
      <c r="AL474" s="406"/>
      <c r="AM474" s="406"/>
      <c r="AN474" s="294"/>
      <c r="AO474" s="406"/>
      <c r="AP474" s="406"/>
      <c r="AQ474" s="406"/>
      <c r="AR474" s="406"/>
    </row>
    <row r="475">
      <c r="A475" s="294"/>
      <c r="B475" s="294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294"/>
      <c r="P475" s="406"/>
      <c r="Q475" s="406"/>
      <c r="R475" s="406"/>
      <c r="S475" s="406"/>
      <c r="T475" s="294"/>
      <c r="U475" s="406"/>
      <c r="V475" s="406"/>
      <c r="W475" s="406"/>
      <c r="X475" s="406"/>
      <c r="Y475" s="294"/>
      <c r="Z475" s="406"/>
      <c r="AA475" s="406"/>
      <c r="AB475" s="406"/>
      <c r="AC475" s="406"/>
      <c r="AD475" s="294"/>
      <c r="AE475" s="406"/>
      <c r="AF475" s="406"/>
      <c r="AG475" s="406"/>
      <c r="AH475" s="406"/>
      <c r="AI475" s="294"/>
      <c r="AJ475" s="406"/>
      <c r="AK475" s="406"/>
      <c r="AL475" s="406"/>
      <c r="AM475" s="406"/>
      <c r="AN475" s="294"/>
      <c r="AO475" s="406"/>
      <c r="AP475" s="406"/>
      <c r="AQ475" s="406"/>
      <c r="AR475" s="406"/>
    </row>
    <row r="476">
      <c r="A476" s="294"/>
      <c r="B476" s="294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294"/>
      <c r="P476" s="406"/>
      <c r="Q476" s="406"/>
      <c r="R476" s="406"/>
      <c r="S476" s="406"/>
      <c r="T476" s="294"/>
      <c r="U476" s="406"/>
      <c r="V476" s="406"/>
      <c r="W476" s="406"/>
      <c r="X476" s="406"/>
      <c r="Y476" s="294"/>
      <c r="Z476" s="406"/>
      <c r="AA476" s="406"/>
      <c r="AB476" s="406"/>
      <c r="AC476" s="406"/>
      <c r="AD476" s="294"/>
      <c r="AE476" s="406"/>
      <c r="AF476" s="406"/>
      <c r="AG476" s="406"/>
      <c r="AH476" s="406"/>
      <c r="AI476" s="294"/>
      <c r="AJ476" s="406"/>
      <c r="AK476" s="406"/>
      <c r="AL476" s="406"/>
      <c r="AM476" s="406"/>
      <c r="AN476" s="294"/>
      <c r="AO476" s="406"/>
      <c r="AP476" s="406"/>
      <c r="AQ476" s="406"/>
      <c r="AR476" s="406"/>
    </row>
    <row r="477">
      <c r="A477" s="294"/>
      <c r="B477" s="294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294"/>
      <c r="P477" s="406"/>
      <c r="Q477" s="406"/>
      <c r="R477" s="406"/>
      <c r="S477" s="406"/>
      <c r="T477" s="294"/>
      <c r="U477" s="406"/>
      <c r="V477" s="406"/>
      <c r="W477" s="406"/>
      <c r="X477" s="406"/>
      <c r="Y477" s="294"/>
      <c r="Z477" s="406"/>
      <c r="AA477" s="406"/>
      <c r="AB477" s="406"/>
      <c r="AC477" s="406"/>
      <c r="AD477" s="294"/>
      <c r="AE477" s="406"/>
      <c r="AF477" s="406"/>
      <c r="AG477" s="406"/>
      <c r="AH477" s="406"/>
      <c r="AI477" s="294"/>
      <c r="AJ477" s="406"/>
      <c r="AK477" s="406"/>
      <c r="AL477" s="406"/>
      <c r="AM477" s="406"/>
      <c r="AN477" s="294"/>
      <c r="AO477" s="406"/>
      <c r="AP477" s="406"/>
      <c r="AQ477" s="406"/>
      <c r="AR477" s="406"/>
    </row>
    <row r="478">
      <c r="A478" s="294"/>
      <c r="B478" s="294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294"/>
      <c r="P478" s="406"/>
      <c r="Q478" s="406"/>
      <c r="R478" s="406"/>
      <c r="S478" s="406"/>
      <c r="T478" s="294"/>
      <c r="U478" s="406"/>
      <c r="V478" s="406"/>
      <c r="W478" s="406"/>
      <c r="X478" s="406"/>
      <c r="Y478" s="294"/>
      <c r="Z478" s="406"/>
      <c r="AA478" s="406"/>
      <c r="AB478" s="406"/>
      <c r="AC478" s="406"/>
      <c r="AD478" s="294"/>
      <c r="AE478" s="406"/>
      <c r="AF478" s="406"/>
      <c r="AG478" s="406"/>
      <c r="AH478" s="406"/>
      <c r="AI478" s="294"/>
      <c r="AJ478" s="406"/>
      <c r="AK478" s="406"/>
      <c r="AL478" s="406"/>
      <c r="AM478" s="406"/>
      <c r="AN478" s="294"/>
      <c r="AO478" s="406"/>
      <c r="AP478" s="406"/>
      <c r="AQ478" s="406"/>
      <c r="AR478" s="406"/>
    </row>
    <row r="479">
      <c r="A479" s="294"/>
      <c r="B479" s="294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294"/>
      <c r="P479" s="406"/>
      <c r="Q479" s="406"/>
      <c r="R479" s="406"/>
      <c r="S479" s="406"/>
      <c r="T479" s="294"/>
      <c r="U479" s="406"/>
      <c r="V479" s="406"/>
      <c r="W479" s="406"/>
      <c r="X479" s="406"/>
      <c r="Y479" s="294"/>
      <c r="Z479" s="406"/>
      <c r="AA479" s="406"/>
      <c r="AB479" s="406"/>
      <c r="AC479" s="406"/>
      <c r="AD479" s="294"/>
      <c r="AE479" s="406"/>
      <c r="AF479" s="406"/>
      <c r="AG479" s="406"/>
      <c r="AH479" s="406"/>
      <c r="AI479" s="294"/>
      <c r="AJ479" s="406"/>
      <c r="AK479" s="406"/>
      <c r="AL479" s="406"/>
      <c r="AM479" s="406"/>
      <c r="AN479" s="294"/>
      <c r="AO479" s="406"/>
      <c r="AP479" s="406"/>
      <c r="AQ479" s="406"/>
      <c r="AR479" s="406"/>
    </row>
    <row r="480">
      <c r="A480" s="294"/>
      <c r="B480" s="294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294"/>
      <c r="P480" s="406"/>
      <c r="Q480" s="406"/>
      <c r="R480" s="406"/>
      <c r="S480" s="406"/>
      <c r="T480" s="294"/>
      <c r="U480" s="406"/>
      <c r="V480" s="406"/>
      <c r="W480" s="406"/>
      <c r="X480" s="406"/>
      <c r="Y480" s="294"/>
      <c r="Z480" s="406"/>
      <c r="AA480" s="406"/>
      <c r="AB480" s="406"/>
      <c r="AC480" s="406"/>
      <c r="AD480" s="294"/>
      <c r="AE480" s="406"/>
      <c r="AF480" s="406"/>
      <c r="AG480" s="406"/>
      <c r="AH480" s="406"/>
      <c r="AI480" s="294"/>
      <c r="AJ480" s="406"/>
      <c r="AK480" s="406"/>
      <c r="AL480" s="406"/>
      <c r="AM480" s="406"/>
      <c r="AN480" s="294"/>
      <c r="AO480" s="406"/>
      <c r="AP480" s="406"/>
      <c r="AQ480" s="406"/>
      <c r="AR480" s="406"/>
    </row>
    <row r="481">
      <c r="A481" s="294"/>
      <c r="B481" s="294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294"/>
      <c r="P481" s="406"/>
      <c r="Q481" s="406"/>
      <c r="R481" s="406"/>
      <c r="S481" s="406"/>
      <c r="T481" s="294"/>
      <c r="U481" s="406"/>
      <c r="V481" s="406"/>
      <c r="W481" s="406"/>
      <c r="X481" s="406"/>
      <c r="Y481" s="294"/>
      <c r="Z481" s="406"/>
      <c r="AA481" s="406"/>
      <c r="AB481" s="406"/>
      <c r="AC481" s="406"/>
      <c r="AD481" s="294"/>
      <c r="AE481" s="406"/>
      <c r="AF481" s="406"/>
      <c r="AG481" s="406"/>
      <c r="AH481" s="406"/>
      <c r="AI481" s="294"/>
      <c r="AJ481" s="406"/>
      <c r="AK481" s="406"/>
      <c r="AL481" s="406"/>
      <c r="AM481" s="406"/>
      <c r="AN481" s="294"/>
      <c r="AO481" s="406"/>
      <c r="AP481" s="406"/>
      <c r="AQ481" s="406"/>
      <c r="AR481" s="406"/>
    </row>
    <row r="482">
      <c r="A482" s="294"/>
      <c r="B482" s="294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294"/>
      <c r="P482" s="406"/>
      <c r="Q482" s="406"/>
      <c r="R482" s="406"/>
      <c r="S482" s="406"/>
      <c r="T482" s="294"/>
      <c r="U482" s="406"/>
      <c r="V482" s="406"/>
      <c r="W482" s="406"/>
      <c r="X482" s="406"/>
      <c r="Y482" s="294"/>
      <c r="Z482" s="406"/>
      <c r="AA482" s="406"/>
      <c r="AB482" s="406"/>
      <c r="AC482" s="406"/>
      <c r="AD482" s="294"/>
      <c r="AE482" s="406"/>
      <c r="AF482" s="406"/>
      <c r="AG482" s="406"/>
      <c r="AH482" s="406"/>
      <c r="AI482" s="294"/>
      <c r="AJ482" s="406"/>
      <c r="AK482" s="406"/>
      <c r="AL482" s="406"/>
      <c r="AM482" s="406"/>
      <c r="AN482" s="294"/>
      <c r="AO482" s="406"/>
      <c r="AP482" s="406"/>
      <c r="AQ482" s="406"/>
      <c r="AR482" s="406"/>
    </row>
    <row r="483">
      <c r="A483" s="294"/>
      <c r="B483" s="294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294"/>
      <c r="P483" s="406"/>
      <c r="Q483" s="406"/>
      <c r="R483" s="406"/>
      <c r="S483" s="406"/>
      <c r="T483" s="294"/>
      <c r="U483" s="406"/>
      <c r="V483" s="406"/>
      <c r="W483" s="406"/>
      <c r="X483" s="406"/>
      <c r="Y483" s="294"/>
      <c r="Z483" s="406"/>
      <c r="AA483" s="406"/>
      <c r="AB483" s="406"/>
      <c r="AC483" s="406"/>
      <c r="AD483" s="294"/>
      <c r="AE483" s="406"/>
      <c r="AF483" s="406"/>
      <c r="AG483" s="406"/>
      <c r="AH483" s="406"/>
      <c r="AI483" s="294"/>
      <c r="AJ483" s="406"/>
      <c r="AK483" s="406"/>
      <c r="AL483" s="406"/>
      <c r="AM483" s="406"/>
      <c r="AN483" s="294"/>
      <c r="AO483" s="406"/>
      <c r="AP483" s="406"/>
      <c r="AQ483" s="406"/>
      <c r="AR483" s="406"/>
    </row>
    <row r="484">
      <c r="A484" s="294"/>
      <c r="B484" s="294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294"/>
      <c r="P484" s="406"/>
      <c r="Q484" s="406"/>
      <c r="R484" s="406"/>
      <c r="S484" s="406"/>
      <c r="T484" s="294"/>
      <c r="U484" s="406"/>
      <c r="V484" s="406"/>
      <c r="W484" s="406"/>
      <c r="X484" s="406"/>
      <c r="Y484" s="294"/>
      <c r="Z484" s="406"/>
      <c r="AA484" s="406"/>
      <c r="AB484" s="406"/>
      <c r="AC484" s="406"/>
      <c r="AD484" s="294"/>
      <c r="AE484" s="406"/>
      <c r="AF484" s="406"/>
      <c r="AG484" s="406"/>
      <c r="AH484" s="406"/>
      <c r="AI484" s="294"/>
      <c r="AJ484" s="406"/>
      <c r="AK484" s="406"/>
      <c r="AL484" s="406"/>
      <c r="AM484" s="406"/>
      <c r="AN484" s="294"/>
      <c r="AO484" s="406"/>
      <c r="AP484" s="406"/>
      <c r="AQ484" s="406"/>
      <c r="AR484" s="406"/>
    </row>
    <row r="485">
      <c r="A485" s="294"/>
      <c r="B485" s="294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294"/>
      <c r="P485" s="406"/>
      <c r="Q485" s="406"/>
      <c r="R485" s="406"/>
      <c r="S485" s="406"/>
      <c r="T485" s="294"/>
      <c r="U485" s="406"/>
      <c r="V485" s="406"/>
      <c r="W485" s="406"/>
      <c r="X485" s="406"/>
      <c r="Y485" s="294"/>
      <c r="Z485" s="406"/>
      <c r="AA485" s="406"/>
      <c r="AB485" s="406"/>
      <c r="AC485" s="406"/>
      <c r="AD485" s="294"/>
      <c r="AE485" s="406"/>
      <c r="AF485" s="406"/>
      <c r="AG485" s="406"/>
      <c r="AH485" s="406"/>
      <c r="AI485" s="294"/>
      <c r="AJ485" s="406"/>
      <c r="AK485" s="406"/>
      <c r="AL485" s="406"/>
      <c r="AM485" s="406"/>
      <c r="AN485" s="294"/>
      <c r="AO485" s="406"/>
      <c r="AP485" s="406"/>
      <c r="AQ485" s="406"/>
      <c r="AR485" s="406"/>
    </row>
    <row r="486">
      <c r="A486" s="294"/>
      <c r="B486" s="294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294"/>
      <c r="P486" s="406"/>
      <c r="Q486" s="406"/>
      <c r="R486" s="406"/>
      <c r="S486" s="406"/>
      <c r="T486" s="294"/>
      <c r="U486" s="406"/>
      <c r="V486" s="406"/>
      <c r="W486" s="406"/>
      <c r="X486" s="406"/>
      <c r="Y486" s="294"/>
      <c r="Z486" s="406"/>
      <c r="AA486" s="406"/>
      <c r="AB486" s="406"/>
      <c r="AC486" s="406"/>
      <c r="AD486" s="294"/>
      <c r="AE486" s="406"/>
      <c r="AF486" s="406"/>
      <c r="AG486" s="406"/>
      <c r="AH486" s="406"/>
      <c r="AI486" s="294"/>
      <c r="AJ486" s="406"/>
      <c r="AK486" s="406"/>
      <c r="AL486" s="406"/>
      <c r="AM486" s="406"/>
      <c r="AN486" s="294"/>
      <c r="AO486" s="406"/>
      <c r="AP486" s="406"/>
      <c r="AQ486" s="406"/>
      <c r="AR486" s="406"/>
    </row>
    <row r="487">
      <c r="A487" s="294"/>
      <c r="B487" s="294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294"/>
      <c r="P487" s="406"/>
      <c r="Q487" s="406"/>
      <c r="R487" s="406"/>
      <c r="S487" s="406"/>
      <c r="T487" s="294"/>
      <c r="U487" s="406"/>
      <c r="V487" s="406"/>
      <c r="W487" s="406"/>
      <c r="X487" s="406"/>
      <c r="Y487" s="294"/>
      <c r="Z487" s="406"/>
      <c r="AA487" s="406"/>
      <c r="AB487" s="406"/>
      <c r="AC487" s="406"/>
      <c r="AD487" s="294"/>
      <c r="AE487" s="406"/>
      <c r="AF487" s="406"/>
      <c r="AG487" s="406"/>
      <c r="AH487" s="406"/>
      <c r="AI487" s="294"/>
      <c r="AJ487" s="406"/>
      <c r="AK487" s="406"/>
      <c r="AL487" s="406"/>
      <c r="AM487" s="406"/>
      <c r="AN487" s="294"/>
      <c r="AO487" s="406"/>
      <c r="AP487" s="406"/>
      <c r="AQ487" s="406"/>
      <c r="AR487" s="406"/>
    </row>
    <row r="488">
      <c r="A488" s="294"/>
      <c r="B488" s="294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294"/>
      <c r="P488" s="406"/>
      <c r="Q488" s="406"/>
      <c r="R488" s="406"/>
      <c r="S488" s="406"/>
      <c r="T488" s="294"/>
      <c r="U488" s="406"/>
      <c r="V488" s="406"/>
      <c r="W488" s="406"/>
      <c r="X488" s="406"/>
      <c r="Y488" s="294"/>
      <c r="Z488" s="406"/>
      <c r="AA488" s="406"/>
      <c r="AB488" s="406"/>
      <c r="AC488" s="406"/>
      <c r="AD488" s="294"/>
      <c r="AE488" s="406"/>
      <c r="AF488" s="406"/>
      <c r="AG488" s="406"/>
      <c r="AH488" s="406"/>
      <c r="AI488" s="294"/>
      <c r="AJ488" s="406"/>
      <c r="AK488" s="406"/>
      <c r="AL488" s="406"/>
      <c r="AM488" s="406"/>
      <c r="AN488" s="294"/>
      <c r="AO488" s="406"/>
      <c r="AP488" s="406"/>
      <c r="AQ488" s="406"/>
      <c r="AR488" s="406"/>
    </row>
    <row r="489">
      <c r="A489" s="294"/>
      <c r="B489" s="294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294"/>
      <c r="P489" s="406"/>
      <c r="Q489" s="406"/>
      <c r="R489" s="406"/>
      <c r="S489" s="406"/>
      <c r="T489" s="294"/>
      <c r="U489" s="406"/>
      <c r="V489" s="406"/>
      <c r="W489" s="406"/>
      <c r="X489" s="406"/>
      <c r="Y489" s="294"/>
      <c r="Z489" s="406"/>
      <c r="AA489" s="406"/>
      <c r="AB489" s="406"/>
      <c r="AC489" s="406"/>
      <c r="AD489" s="294"/>
      <c r="AE489" s="406"/>
      <c r="AF489" s="406"/>
      <c r="AG489" s="406"/>
      <c r="AH489" s="406"/>
      <c r="AI489" s="294"/>
      <c r="AJ489" s="406"/>
      <c r="AK489" s="406"/>
      <c r="AL489" s="406"/>
      <c r="AM489" s="406"/>
      <c r="AN489" s="294"/>
      <c r="AO489" s="406"/>
      <c r="AP489" s="406"/>
      <c r="AQ489" s="406"/>
      <c r="AR489" s="406"/>
    </row>
    <row r="490">
      <c r="A490" s="294"/>
      <c r="B490" s="294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294"/>
      <c r="P490" s="406"/>
      <c r="Q490" s="406"/>
      <c r="R490" s="406"/>
      <c r="S490" s="406"/>
      <c r="T490" s="294"/>
      <c r="U490" s="406"/>
      <c r="V490" s="406"/>
      <c r="W490" s="406"/>
      <c r="X490" s="406"/>
      <c r="Y490" s="294"/>
      <c r="Z490" s="406"/>
      <c r="AA490" s="406"/>
      <c r="AB490" s="406"/>
      <c r="AC490" s="406"/>
      <c r="AD490" s="294"/>
      <c r="AE490" s="406"/>
      <c r="AF490" s="406"/>
      <c r="AG490" s="406"/>
      <c r="AH490" s="406"/>
      <c r="AI490" s="294"/>
      <c r="AJ490" s="406"/>
      <c r="AK490" s="406"/>
      <c r="AL490" s="406"/>
      <c r="AM490" s="406"/>
      <c r="AN490" s="294"/>
      <c r="AO490" s="406"/>
      <c r="AP490" s="406"/>
      <c r="AQ490" s="406"/>
      <c r="AR490" s="406"/>
    </row>
    <row r="491">
      <c r="A491" s="294"/>
      <c r="B491" s="294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294"/>
      <c r="P491" s="406"/>
      <c r="Q491" s="406"/>
      <c r="R491" s="406"/>
      <c r="S491" s="406"/>
      <c r="T491" s="294"/>
      <c r="U491" s="406"/>
      <c r="V491" s="406"/>
      <c r="W491" s="406"/>
      <c r="X491" s="406"/>
      <c r="Y491" s="294"/>
      <c r="Z491" s="406"/>
      <c r="AA491" s="406"/>
      <c r="AB491" s="406"/>
      <c r="AC491" s="406"/>
      <c r="AD491" s="294"/>
      <c r="AE491" s="406"/>
      <c r="AF491" s="406"/>
      <c r="AG491" s="406"/>
      <c r="AH491" s="406"/>
      <c r="AI491" s="294"/>
      <c r="AJ491" s="406"/>
      <c r="AK491" s="406"/>
      <c r="AL491" s="406"/>
      <c r="AM491" s="406"/>
      <c r="AN491" s="294"/>
      <c r="AO491" s="406"/>
      <c r="AP491" s="406"/>
      <c r="AQ491" s="406"/>
      <c r="AR491" s="406"/>
    </row>
    <row r="492">
      <c r="A492" s="294"/>
      <c r="B492" s="294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294"/>
      <c r="P492" s="406"/>
      <c r="Q492" s="406"/>
      <c r="R492" s="406"/>
      <c r="S492" s="406"/>
      <c r="T492" s="294"/>
      <c r="U492" s="406"/>
      <c r="V492" s="406"/>
      <c r="W492" s="406"/>
      <c r="X492" s="406"/>
      <c r="Y492" s="294"/>
      <c r="Z492" s="406"/>
      <c r="AA492" s="406"/>
      <c r="AB492" s="406"/>
      <c r="AC492" s="406"/>
      <c r="AD492" s="294"/>
      <c r="AE492" s="406"/>
      <c r="AF492" s="406"/>
      <c r="AG492" s="406"/>
      <c r="AH492" s="406"/>
      <c r="AI492" s="294"/>
      <c r="AJ492" s="406"/>
      <c r="AK492" s="406"/>
      <c r="AL492" s="406"/>
      <c r="AM492" s="406"/>
      <c r="AN492" s="294"/>
      <c r="AO492" s="406"/>
      <c r="AP492" s="406"/>
      <c r="AQ492" s="406"/>
      <c r="AR492" s="406"/>
    </row>
    <row r="493">
      <c r="A493" s="294"/>
      <c r="B493" s="294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294"/>
      <c r="P493" s="406"/>
      <c r="Q493" s="406"/>
      <c r="R493" s="406"/>
      <c r="S493" s="406"/>
      <c r="T493" s="294"/>
      <c r="U493" s="406"/>
      <c r="V493" s="406"/>
      <c r="W493" s="406"/>
      <c r="X493" s="406"/>
      <c r="Y493" s="294"/>
      <c r="Z493" s="406"/>
      <c r="AA493" s="406"/>
      <c r="AB493" s="406"/>
      <c r="AC493" s="406"/>
      <c r="AD493" s="294"/>
      <c r="AE493" s="406"/>
      <c r="AF493" s="406"/>
      <c r="AG493" s="406"/>
      <c r="AH493" s="406"/>
      <c r="AI493" s="294"/>
      <c r="AJ493" s="406"/>
      <c r="AK493" s="406"/>
      <c r="AL493" s="406"/>
      <c r="AM493" s="406"/>
      <c r="AN493" s="294"/>
      <c r="AO493" s="406"/>
      <c r="AP493" s="406"/>
      <c r="AQ493" s="406"/>
      <c r="AR493" s="406"/>
    </row>
    <row r="494">
      <c r="A494" s="294"/>
      <c r="B494" s="294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294"/>
      <c r="P494" s="406"/>
      <c r="Q494" s="406"/>
      <c r="R494" s="406"/>
      <c r="S494" s="406"/>
      <c r="T494" s="294"/>
      <c r="U494" s="406"/>
      <c r="V494" s="406"/>
      <c r="W494" s="406"/>
      <c r="X494" s="406"/>
      <c r="Y494" s="294"/>
      <c r="Z494" s="406"/>
      <c r="AA494" s="406"/>
      <c r="AB494" s="406"/>
      <c r="AC494" s="406"/>
      <c r="AD494" s="294"/>
      <c r="AE494" s="406"/>
      <c r="AF494" s="406"/>
      <c r="AG494" s="406"/>
      <c r="AH494" s="406"/>
      <c r="AI494" s="294"/>
      <c r="AJ494" s="406"/>
      <c r="AK494" s="406"/>
      <c r="AL494" s="406"/>
      <c r="AM494" s="406"/>
      <c r="AN494" s="294"/>
      <c r="AO494" s="406"/>
      <c r="AP494" s="406"/>
      <c r="AQ494" s="406"/>
      <c r="AR494" s="406"/>
    </row>
    <row r="495">
      <c r="A495" s="294"/>
      <c r="B495" s="294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294"/>
      <c r="P495" s="406"/>
      <c r="Q495" s="406"/>
      <c r="R495" s="406"/>
      <c r="S495" s="406"/>
      <c r="T495" s="294"/>
      <c r="U495" s="406"/>
      <c r="V495" s="406"/>
      <c r="W495" s="406"/>
      <c r="X495" s="406"/>
      <c r="Y495" s="294"/>
      <c r="Z495" s="406"/>
      <c r="AA495" s="406"/>
      <c r="AB495" s="406"/>
      <c r="AC495" s="406"/>
      <c r="AD495" s="294"/>
      <c r="AE495" s="406"/>
      <c r="AF495" s="406"/>
      <c r="AG495" s="406"/>
      <c r="AH495" s="406"/>
      <c r="AI495" s="294"/>
      <c r="AJ495" s="406"/>
      <c r="AK495" s="406"/>
      <c r="AL495" s="406"/>
      <c r="AM495" s="406"/>
      <c r="AN495" s="294"/>
      <c r="AO495" s="406"/>
      <c r="AP495" s="406"/>
      <c r="AQ495" s="406"/>
      <c r="AR495" s="406"/>
    </row>
    <row r="496">
      <c r="A496" s="294"/>
      <c r="B496" s="294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294"/>
      <c r="P496" s="406"/>
      <c r="Q496" s="406"/>
      <c r="R496" s="406"/>
      <c r="S496" s="406"/>
      <c r="T496" s="294"/>
      <c r="U496" s="406"/>
      <c r="V496" s="406"/>
      <c r="W496" s="406"/>
      <c r="X496" s="406"/>
      <c r="Y496" s="294"/>
      <c r="Z496" s="406"/>
      <c r="AA496" s="406"/>
      <c r="AB496" s="406"/>
      <c r="AC496" s="406"/>
      <c r="AD496" s="294"/>
      <c r="AE496" s="406"/>
      <c r="AF496" s="406"/>
      <c r="AG496" s="406"/>
      <c r="AH496" s="406"/>
      <c r="AI496" s="294"/>
      <c r="AJ496" s="406"/>
      <c r="AK496" s="406"/>
      <c r="AL496" s="406"/>
      <c r="AM496" s="406"/>
      <c r="AN496" s="294"/>
      <c r="AO496" s="406"/>
      <c r="AP496" s="406"/>
      <c r="AQ496" s="406"/>
      <c r="AR496" s="406"/>
    </row>
    <row r="497">
      <c r="A497" s="294"/>
      <c r="B497" s="294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294"/>
      <c r="P497" s="406"/>
      <c r="Q497" s="406"/>
      <c r="R497" s="406"/>
      <c r="S497" s="406"/>
      <c r="T497" s="294"/>
      <c r="U497" s="406"/>
      <c r="V497" s="406"/>
      <c r="W497" s="406"/>
      <c r="X497" s="406"/>
      <c r="Y497" s="294"/>
      <c r="Z497" s="406"/>
      <c r="AA497" s="406"/>
      <c r="AB497" s="406"/>
      <c r="AC497" s="406"/>
      <c r="AD497" s="294"/>
      <c r="AE497" s="406"/>
      <c r="AF497" s="406"/>
      <c r="AG497" s="406"/>
      <c r="AH497" s="406"/>
      <c r="AI497" s="294"/>
      <c r="AJ497" s="406"/>
      <c r="AK497" s="406"/>
      <c r="AL497" s="406"/>
      <c r="AM497" s="406"/>
      <c r="AN497" s="294"/>
      <c r="AO497" s="406"/>
      <c r="AP497" s="406"/>
      <c r="AQ497" s="406"/>
      <c r="AR497" s="406"/>
    </row>
    <row r="498">
      <c r="A498" s="294"/>
      <c r="B498" s="294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294"/>
      <c r="P498" s="406"/>
      <c r="Q498" s="406"/>
      <c r="R498" s="406"/>
      <c r="S498" s="406"/>
      <c r="T498" s="294"/>
      <c r="U498" s="406"/>
      <c r="V498" s="406"/>
      <c r="W498" s="406"/>
      <c r="X498" s="406"/>
      <c r="Y498" s="294"/>
      <c r="Z498" s="406"/>
      <c r="AA498" s="406"/>
      <c r="AB498" s="406"/>
      <c r="AC498" s="406"/>
      <c r="AD498" s="294"/>
      <c r="AE498" s="406"/>
      <c r="AF498" s="406"/>
      <c r="AG498" s="406"/>
      <c r="AH498" s="406"/>
      <c r="AI498" s="294"/>
      <c r="AJ498" s="406"/>
      <c r="AK498" s="406"/>
      <c r="AL498" s="406"/>
      <c r="AM498" s="406"/>
      <c r="AN498" s="294"/>
      <c r="AO498" s="406"/>
      <c r="AP498" s="406"/>
      <c r="AQ498" s="406"/>
      <c r="AR498" s="406"/>
    </row>
    <row r="499">
      <c r="A499" s="294"/>
      <c r="B499" s="294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294"/>
      <c r="P499" s="406"/>
      <c r="Q499" s="406"/>
      <c r="R499" s="406"/>
      <c r="S499" s="406"/>
      <c r="T499" s="294"/>
      <c r="U499" s="406"/>
      <c r="V499" s="406"/>
      <c r="W499" s="406"/>
      <c r="X499" s="406"/>
      <c r="Y499" s="294"/>
      <c r="Z499" s="406"/>
      <c r="AA499" s="406"/>
      <c r="AB499" s="406"/>
      <c r="AC499" s="406"/>
      <c r="AD499" s="294"/>
      <c r="AE499" s="406"/>
      <c r="AF499" s="406"/>
      <c r="AG499" s="406"/>
      <c r="AH499" s="406"/>
      <c r="AI499" s="294"/>
      <c r="AJ499" s="406"/>
      <c r="AK499" s="406"/>
      <c r="AL499" s="406"/>
      <c r="AM499" s="406"/>
      <c r="AN499" s="294"/>
      <c r="AO499" s="406"/>
      <c r="AP499" s="406"/>
      <c r="AQ499" s="406"/>
      <c r="AR499" s="406"/>
    </row>
    <row r="500">
      <c r="A500" s="294"/>
      <c r="B500" s="294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294"/>
      <c r="P500" s="406"/>
      <c r="Q500" s="406"/>
      <c r="R500" s="406"/>
      <c r="S500" s="406"/>
      <c r="T500" s="294"/>
      <c r="U500" s="406"/>
      <c r="V500" s="406"/>
      <c r="W500" s="406"/>
      <c r="X500" s="406"/>
      <c r="Y500" s="294"/>
      <c r="Z500" s="406"/>
      <c r="AA500" s="406"/>
      <c r="AB500" s="406"/>
      <c r="AC500" s="406"/>
      <c r="AD500" s="294"/>
      <c r="AE500" s="406"/>
      <c r="AF500" s="406"/>
      <c r="AG500" s="406"/>
      <c r="AH500" s="406"/>
      <c r="AI500" s="294"/>
      <c r="AJ500" s="406"/>
      <c r="AK500" s="406"/>
      <c r="AL500" s="406"/>
      <c r="AM500" s="406"/>
      <c r="AN500" s="294"/>
      <c r="AO500" s="406"/>
      <c r="AP500" s="406"/>
      <c r="AQ500" s="406"/>
      <c r="AR500" s="406"/>
    </row>
    <row r="501">
      <c r="A501" s="294"/>
      <c r="B501" s="294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294"/>
      <c r="P501" s="406"/>
      <c r="Q501" s="406"/>
      <c r="R501" s="406"/>
      <c r="S501" s="406"/>
      <c r="T501" s="294"/>
      <c r="U501" s="406"/>
      <c r="V501" s="406"/>
      <c r="W501" s="406"/>
      <c r="X501" s="406"/>
      <c r="Y501" s="294"/>
      <c r="Z501" s="406"/>
      <c r="AA501" s="406"/>
      <c r="AB501" s="406"/>
      <c r="AC501" s="406"/>
      <c r="AD501" s="294"/>
      <c r="AE501" s="406"/>
      <c r="AF501" s="406"/>
      <c r="AG501" s="406"/>
      <c r="AH501" s="406"/>
      <c r="AI501" s="294"/>
      <c r="AJ501" s="406"/>
      <c r="AK501" s="406"/>
      <c r="AL501" s="406"/>
      <c r="AM501" s="406"/>
      <c r="AN501" s="294"/>
      <c r="AO501" s="406"/>
      <c r="AP501" s="406"/>
      <c r="AQ501" s="406"/>
      <c r="AR501" s="406"/>
    </row>
    <row r="502">
      <c r="A502" s="294"/>
      <c r="B502" s="294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294"/>
      <c r="P502" s="406"/>
      <c r="Q502" s="406"/>
      <c r="R502" s="406"/>
      <c r="S502" s="406"/>
      <c r="T502" s="294"/>
      <c r="U502" s="406"/>
      <c r="V502" s="406"/>
      <c r="W502" s="406"/>
      <c r="X502" s="406"/>
      <c r="Y502" s="294"/>
      <c r="Z502" s="406"/>
      <c r="AA502" s="406"/>
      <c r="AB502" s="406"/>
      <c r="AC502" s="406"/>
      <c r="AD502" s="294"/>
      <c r="AE502" s="406"/>
      <c r="AF502" s="406"/>
      <c r="AG502" s="406"/>
      <c r="AH502" s="406"/>
      <c r="AI502" s="294"/>
      <c r="AJ502" s="406"/>
      <c r="AK502" s="406"/>
      <c r="AL502" s="406"/>
      <c r="AM502" s="406"/>
      <c r="AN502" s="294"/>
      <c r="AO502" s="406"/>
      <c r="AP502" s="406"/>
      <c r="AQ502" s="406"/>
      <c r="AR502" s="406"/>
    </row>
    <row r="503">
      <c r="A503" s="294"/>
      <c r="B503" s="294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294"/>
      <c r="P503" s="406"/>
      <c r="Q503" s="406"/>
      <c r="R503" s="406"/>
      <c r="S503" s="406"/>
      <c r="T503" s="294"/>
      <c r="U503" s="406"/>
      <c r="V503" s="406"/>
      <c r="W503" s="406"/>
      <c r="X503" s="406"/>
      <c r="Y503" s="294"/>
      <c r="Z503" s="406"/>
      <c r="AA503" s="406"/>
      <c r="AB503" s="406"/>
      <c r="AC503" s="406"/>
      <c r="AD503" s="294"/>
      <c r="AE503" s="406"/>
      <c r="AF503" s="406"/>
      <c r="AG503" s="406"/>
      <c r="AH503" s="406"/>
      <c r="AI503" s="294"/>
      <c r="AJ503" s="406"/>
      <c r="AK503" s="406"/>
      <c r="AL503" s="406"/>
      <c r="AM503" s="406"/>
      <c r="AN503" s="294"/>
      <c r="AO503" s="406"/>
      <c r="AP503" s="406"/>
      <c r="AQ503" s="406"/>
      <c r="AR503" s="406"/>
    </row>
    <row r="504">
      <c r="A504" s="294"/>
      <c r="B504" s="294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294"/>
      <c r="P504" s="406"/>
      <c r="Q504" s="406"/>
      <c r="R504" s="406"/>
      <c r="S504" s="406"/>
      <c r="T504" s="294"/>
      <c r="U504" s="406"/>
      <c r="V504" s="406"/>
      <c r="W504" s="406"/>
      <c r="X504" s="406"/>
      <c r="Y504" s="294"/>
      <c r="Z504" s="406"/>
      <c r="AA504" s="406"/>
      <c r="AB504" s="406"/>
      <c r="AC504" s="406"/>
      <c r="AD504" s="294"/>
      <c r="AE504" s="406"/>
      <c r="AF504" s="406"/>
      <c r="AG504" s="406"/>
      <c r="AH504" s="406"/>
      <c r="AI504" s="294"/>
      <c r="AJ504" s="406"/>
      <c r="AK504" s="406"/>
      <c r="AL504" s="406"/>
      <c r="AM504" s="406"/>
      <c r="AN504" s="294"/>
      <c r="AO504" s="406"/>
      <c r="AP504" s="406"/>
      <c r="AQ504" s="406"/>
      <c r="AR504" s="406"/>
    </row>
    <row r="505">
      <c r="A505" s="294"/>
      <c r="B505" s="294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294"/>
      <c r="P505" s="406"/>
      <c r="Q505" s="406"/>
      <c r="R505" s="406"/>
      <c r="S505" s="406"/>
      <c r="T505" s="294"/>
      <c r="U505" s="406"/>
      <c r="V505" s="406"/>
      <c r="W505" s="406"/>
      <c r="X505" s="406"/>
      <c r="Y505" s="294"/>
      <c r="Z505" s="406"/>
      <c r="AA505" s="406"/>
      <c r="AB505" s="406"/>
      <c r="AC505" s="406"/>
      <c r="AD505" s="294"/>
      <c r="AE505" s="406"/>
      <c r="AF505" s="406"/>
      <c r="AG505" s="406"/>
      <c r="AH505" s="406"/>
      <c r="AI505" s="294"/>
      <c r="AJ505" s="406"/>
      <c r="AK505" s="406"/>
      <c r="AL505" s="406"/>
      <c r="AM505" s="406"/>
      <c r="AN505" s="294"/>
      <c r="AO505" s="406"/>
      <c r="AP505" s="406"/>
      <c r="AQ505" s="406"/>
      <c r="AR505" s="406"/>
    </row>
    <row r="506">
      <c r="A506" s="294"/>
      <c r="B506" s="294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294"/>
      <c r="P506" s="406"/>
      <c r="Q506" s="406"/>
      <c r="R506" s="406"/>
      <c r="S506" s="406"/>
      <c r="T506" s="294"/>
      <c r="U506" s="406"/>
      <c r="V506" s="406"/>
      <c r="W506" s="406"/>
      <c r="X506" s="406"/>
      <c r="Y506" s="294"/>
      <c r="Z506" s="406"/>
      <c r="AA506" s="406"/>
      <c r="AB506" s="406"/>
      <c r="AC506" s="406"/>
      <c r="AD506" s="294"/>
      <c r="AE506" s="406"/>
      <c r="AF506" s="406"/>
      <c r="AG506" s="406"/>
      <c r="AH506" s="406"/>
      <c r="AI506" s="294"/>
      <c r="AJ506" s="406"/>
      <c r="AK506" s="406"/>
      <c r="AL506" s="406"/>
      <c r="AM506" s="406"/>
      <c r="AN506" s="294"/>
      <c r="AO506" s="406"/>
      <c r="AP506" s="406"/>
      <c r="AQ506" s="406"/>
      <c r="AR506" s="406"/>
    </row>
    <row r="507">
      <c r="A507" s="294"/>
      <c r="B507" s="294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294"/>
      <c r="P507" s="406"/>
      <c r="Q507" s="406"/>
      <c r="R507" s="406"/>
      <c r="S507" s="406"/>
      <c r="T507" s="294"/>
      <c r="U507" s="406"/>
      <c r="V507" s="406"/>
      <c r="W507" s="406"/>
      <c r="X507" s="406"/>
      <c r="Y507" s="294"/>
      <c r="Z507" s="406"/>
      <c r="AA507" s="406"/>
      <c r="AB507" s="406"/>
      <c r="AC507" s="406"/>
      <c r="AD507" s="294"/>
      <c r="AE507" s="406"/>
      <c r="AF507" s="406"/>
      <c r="AG507" s="406"/>
      <c r="AH507" s="406"/>
      <c r="AI507" s="294"/>
      <c r="AJ507" s="406"/>
      <c r="AK507" s="406"/>
      <c r="AL507" s="406"/>
      <c r="AM507" s="406"/>
      <c r="AN507" s="294"/>
      <c r="AO507" s="406"/>
      <c r="AP507" s="406"/>
      <c r="AQ507" s="406"/>
      <c r="AR507" s="406"/>
    </row>
    <row r="508">
      <c r="A508" s="294"/>
      <c r="B508" s="294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294"/>
      <c r="P508" s="406"/>
      <c r="Q508" s="406"/>
      <c r="R508" s="406"/>
      <c r="S508" s="406"/>
      <c r="T508" s="294"/>
      <c r="U508" s="406"/>
      <c r="V508" s="406"/>
      <c r="W508" s="406"/>
      <c r="X508" s="406"/>
      <c r="Y508" s="294"/>
      <c r="Z508" s="406"/>
      <c r="AA508" s="406"/>
      <c r="AB508" s="406"/>
      <c r="AC508" s="406"/>
      <c r="AD508" s="294"/>
      <c r="AE508" s="406"/>
      <c r="AF508" s="406"/>
      <c r="AG508" s="406"/>
      <c r="AH508" s="406"/>
      <c r="AI508" s="294"/>
      <c r="AJ508" s="406"/>
      <c r="AK508" s="406"/>
      <c r="AL508" s="406"/>
      <c r="AM508" s="406"/>
      <c r="AN508" s="294"/>
      <c r="AO508" s="406"/>
      <c r="AP508" s="406"/>
      <c r="AQ508" s="406"/>
      <c r="AR508" s="406"/>
    </row>
    <row r="509">
      <c r="A509" s="294"/>
      <c r="B509" s="294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294"/>
      <c r="P509" s="406"/>
      <c r="Q509" s="406"/>
      <c r="R509" s="406"/>
      <c r="S509" s="406"/>
      <c r="T509" s="294"/>
      <c r="U509" s="406"/>
      <c r="V509" s="406"/>
      <c r="W509" s="406"/>
      <c r="X509" s="406"/>
      <c r="Y509" s="294"/>
      <c r="Z509" s="406"/>
      <c r="AA509" s="406"/>
      <c r="AB509" s="406"/>
      <c r="AC509" s="406"/>
      <c r="AD509" s="294"/>
      <c r="AE509" s="406"/>
      <c r="AF509" s="406"/>
      <c r="AG509" s="406"/>
      <c r="AH509" s="406"/>
      <c r="AI509" s="294"/>
      <c r="AJ509" s="406"/>
      <c r="AK509" s="406"/>
      <c r="AL509" s="406"/>
      <c r="AM509" s="406"/>
      <c r="AN509" s="294"/>
      <c r="AO509" s="406"/>
      <c r="AP509" s="406"/>
      <c r="AQ509" s="406"/>
      <c r="AR509" s="406"/>
    </row>
    <row r="510">
      <c r="A510" s="294"/>
      <c r="B510" s="294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294"/>
      <c r="P510" s="406"/>
      <c r="Q510" s="406"/>
      <c r="R510" s="406"/>
      <c r="S510" s="406"/>
      <c r="T510" s="294"/>
      <c r="U510" s="406"/>
      <c r="V510" s="406"/>
      <c r="W510" s="406"/>
      <c r="X510" s="406"/>
      <c r="Y510" s="294"/>
      <c r="Z510" s="406"/>
      <c r="AA510" s="406"/>
      <c r="AB510" s="406"/>
      <c r="AC510" s="406"/>
      <c r="AD510" s="294"/>
      <c r="AE510" s="406"/>
      <c r="AF510" s="406"/>
      <c r="AG510" s="406"/>
      <c r="AH510" s="406"/>
      <c r="AI510" s="294"/>
      <c r="AJ510" s="406"/>
      <c r="AK510" s="406"/>
      <c r="AL510" s="406"/>
      <c r="AM510" s="406"/>
      <c r="AN510" s="294"/>
      <c r="AO510" s="406"/>
      <c r="AP510" s="406"/>
      <c r="AQ510" s="406"/>
      <c r="AR510" s="406"/>
    </row>
    <row r="511">
      <c r="A511" s="294"/>
      <c r="B511" s="294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294"/>
      <c r="P511" s="406"/>
      <c r="Q511" s="406"/>
      <c r="R511" s="406"/>
      <c r="S511" s="406"/>
      <c r="T511" s="294"/>
      <c r="U511" s="406"/>
      <c r="V511" s="406"/>
      <c r="W511" s="406"/>
      <c r="X511" s="406"/>
      <c r="Y511" s="294"/>
      <c r="Z511" s="406"/>
      <c r="AA511" s="406"/>
      <c r="AB511" s="406"/>
      <c r="AC511" s="406"/>
      <c r="AD511" s="294"/>
      <c r="AE511" s="406"/>
      <c r="AF511" s="406"/>
      <c r="AG511" s="406"/>
      <c r="AH511" s="406"/>
      <c r="AI511" s="294"/>
      <c r="AJ511" s="406"/>
      <c r="AK511" s="406"/>
      <c r="AL511" s="406"/>
      <c r="AM511" s="406"/>
      <c r="AN511" s="294"/>
      <c r="AO511" s="406"/>
      <c r="AP511" s="406"/>
      <c r="AQ511" s="406"/>
      <c r="AR511" s="406"/>
    </row>
    <row r="512">
      <c r="A512" s="294"/>
      <c r="B512" s="294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294"/>
      <c r="P512" s="406"/>
      <c r="Q512" s="406"/>
      <c r="R512" s="406"/>
      <c r="S512" s="406"/>
      <c r="T512" s="294"/>
      <c r="U512" s="406"/>
      <c r="V512" s="406"/>
      <c r="W512" s="406"/>
      <c r="X512" s="406"/>
      <c r="Y512" s="294"/>
      <c r="Z512" s="406"/>
      <c r="AA512" s="406"/>
      <c r="AB512" s="406"/>
      <c r="AC512" s="406"/>
      <c r="AD512" s="294"/>
      <c r="AE512" s="406"/>
      <c r="AF512" s="406"/>
      <c r="AG512" s="406"/>
      <c r="AH512" s="406"/>
      <c r="AI512" s="294"/>
      <c r="AJ512" s="406"/>
      <c r="AK512" s="406"/>
      <c r="AL512" s="406"/>
      <c r="AM512" s="406"/>
      <c r="AN512" s="294"/>
      <c r="AO512" s="406"/>
      <c r="AP512" s="406"/>
      <c r="AQ512" s="406"/>
      <c r="AR512" s="406"/>
    </row>
    <row r="513">
      <c r="A513" s="294"/>
      <c r="B513" s="294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294"/>
      <c r="P513" s="406"/>
      <c r="Q513" s="406"/>
      <c r="R513" s="406"/>
      <c r="S513" s="406"/>
      <c r="T513" s="294"/>
      <c r="U513" s="406"/>
      <c r="V513" s="406"/>
      <c r="W513" s="406"/>
      <c r="X513" s="406"/>
      <c r="Y513" s="294"/>
      <c r="Z513" s="406"/>
      <c r="AA513" s="406"/>
      <c r="AB513" s="406"/>
      <c r="AC513" s="406"/>
      <c r="AD513" s="294"/>
      <c r="AE513" s="406"/>
      <c r="AF513" s="406"/>
      <c r="AG513" s="406"/>
      <c r="AH513" s="406"/>
      <c r="AI513" s="294"/>
      <c r="AJ513" s="406"/>
      <c r="AK513" s="406"/>
      <c r="AL513" s="406"/>
      <c r="AM513" s="406"/>
      <c r="AN513" s="294"/>
      <c r="AO513" s="406"/>
      <c r="AP513" s="406"/>
      <c r="AQ513" s="406"/>
      <c r="AR513" s="406"/>
    </row>
    <row r="514">
      <c r="A514" s="294"/>
      <c r="B514" s="294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294"/>
      <c r="P514" s="406"/>
      <c r="Q514" s="406"/>
      <c r="R514" s="406"/>
      <c r="S514" s="406"/>
      <c r="T514" s="294"/>
      <c r="U514" s="406"/>
      <c r="V514" s="406"/>
      <c r="W514" s="406"/>
      <c r="X514" s="406"/>
      <c r="Y514" s="294"/>
      <c r="Z514" s="406"/>
      <c r="AA514" s="406"/>
      <c r="AB514" s="406"/>
      <c r="AC514" s="406"/>
      <c r="AD514" s="294"/>
      <c r="AE514" s="406"/>
      <c r="AF514" s="406"/>
      <c r="AG514" s="406"/>
      <c r="AH514" s="406"/>
      <c r="AI514" s="294"/>
      <c r="AJ514" s="406"/>
      <c r="AK514" s="406"/>
      <c r="AL514" s="406"/>
      <c r="AM514" s="406"/>
      <c r="AN514" s="294"/>
      <c r="AO514" s="406"/>
      <c r="AP514" s="406"/>
      <c r="AQ514" s="406"/>
      <c r="AR514" s="406"/>
    </row>
    <row r="515">
      <c r="A515" s="294"/>
      <c r="B515" s="294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294"/>
      <c r="P515" s="406"/>
      <c r="Q515" s="406"/>
      <c r="R515" s="406"/>
      <c r="S515" s="406"/>
      <c r="T515" s="294"/>
      <c r="U515" s="406"/>
      <c r="V515" s="406"/>
      <c r="W515" s="406"/>
      <c r="X515" s="406"/>
      <c r="Y515" s="294"/>
      <c r="Z515" s="406"/>
      <c r="AA515" s="406"/>
      <c r="AB515" s="406"/>
      <c r="AC515" s="406"/>
      <c r="AD515" s="294"/>
      <c r="AE515" s="406"/>
      <c r="AF515" s="406"/>
      <c r="AG515" s="406"/>
      <c r="AH515" s="406"/>
      <c r="AI515" s="294"/>
      <c r="AJ515" s="406"/>
      <c r="AK515" s="406"/>
      <c r="AL515" s="406"/>
      <c r="AM515" s="406"/>
      <c r="AN515" s="294"/>
      <c r="AO515" s="406"/>
      <c r="AP515" s="406"/>
      <c r="AQ515" s="406"/>
      <c r="AR515" s="406"/>
    </row>
    <row r="516">
      <c r="A516" s="294"/>
      <c r="B516" s="294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294"/>
      <c r="P516" s="406"/>
      <c r="Q516" s="406"/>
      <c r="R516" s="406"/>
      <c r="S516" s="406"/>
      <c r="T516" s="294"/>
      <c r="U516" s="406"/>
      <c r="V516" s="406"/>
      <c r="W516" s="406"/>
      <c r="X516" s="406"/>
      <c r="Y516" s="294"/>
      <c r="Z516" s="406"/>
      <c r="AA516" s="406"/>
      <c r="AB516" s="406"/>
      <c r="AC516" s="406"/>
      <c r="AD516" s="294"/>
      <c r="AE516" s="406"/>
      <c r="AF516" s="406"/>
      <c r="AG516" s="406"/>
      <c r="AH516" s="406"/>
      <c r="AI516" s="294"/>
      <c r="AJ516" s="406"/>
      <c r="AK516" s="406"/>
      <c r="AL516" s="406"/>
      <c r="AM516" s="406"/>
      <c r="AN516" s="294"/>
      <c r="AO516" s="406"/>
      <c r="AP516" s="406"/>
      <c r="AQ516" s="406"/>
      <c r="AR516" s="406"/>
    </row>
    <row r="517">
      <c r="A517" s="294"/>
      <c r="B517" s="294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294"/>
      <c r="P517" s="406"/>
      <c r="Q517" s="406"/>
      <c r="R517" s="406"/>
      <c r="S517" s="406"/>
      <c r="T517" s="294"/>
      <c r="U517" s="406"/>
      <c r="V517" s="406"/>
      <c r="W517" s="406"/>
      <c r="X517" s="406"/>
      <c r="Y517" s="294"/>
      <c r="Z517" s="406"/>
      <c r="AA517" s="406"/>
      <c r="AB517" s="406"/>
      <c r="AC517" s="406"/>
      <c r="AD517" s="294"/>
      <c r="AE517" s="406"/>
      <c r="AF517" s="406"/>
      <c r="AG517" s="406"/>
      <c r="AH517" s="406"/>
      <c r="AI517" s="294"/>
      <c r="AJ517" s="406"/>
      <c r="AK517" s="406"/>
      <c r="AL517" s="406"/>
      <c r="AM517" s="406"/>
      <c r="AN517" s="294"/>
      <c r="AO517" s="406"/>
      <c r="AP517" s="406"/>
      <c r="AQ517" s="406"/>
      <c r="AR517" s="406"/>
    </row>
    <row r="518">
      <c r="A518" s="294"/>
      <c r="B518" s="294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294"/>
      <c r="P518" s="406"/>
      <c r="Q518" s="406"/>
      <c r="R518" s="406"/>
      <c r="S518" s="406"/>
      <c r="T518" s="294"/>
      <c r="U518" s="406"/>
      <c r="V518" s="406"/>
      <c r="W518" s="406"/>
      <c r="X518" s="406"/>
      <c r="Y518" s="294"/>
      <c r="Z518" s="406"/>
      <c r="AA518" s="406"/>
      <c r="AB518" s="406"/>
      <c r="AC518" s="406"/>
      <c r="AD518" s="294"/>
      <c r="AE518" s="406"/>
      <c r="AF518" s="406"/>
      <c r="AG518" s="406"/>
      <c r="AH518" s="406"/>
      <c r="AI518" s="294"/>
      <c r="AJ518" s="406"/>
      <c r="AK518" s="406"/>
      <c r="AL518" s="406"/>
      <c r="AM518" s="406"/>
      <c r="AN518" s="294"/>
      <c r="AO518" s="406"/>
      <c r="AP518" s="406"/>
      <c r="AQ518" s="406"/>
      <c r="AR518" s="406"/>
    </row>
    <row r="519">
      <c r="A519" s="294"/>
      <c r="B519" s="294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294"/>
      <c r="P519" s="406"/>
      <c r="Q519" s="406"/>
      <c r="R519" s="406"/>
      <c r="S519" s="406"/>
      <c r="T519" s="294"/>
      <c r="U519" s="406"/>
      <c r="V519" s="406"/>
      <c r="W519" s="406"/>
      <c r="X519" s="406"/>
      <c r="Y519" s="294"/>
      <c r="Z519" s="406"/>
      <c r="AA519" s="406"/>
      <c r="AB519" s="406"/>
      <c r="AC519" s="406"/>
      <c r="AD519" s="294"/>
      <c r="AE519" s="406"/>
      <c r="AF519" s="406"/>
      <c r="AG519" s="406"/>
      <c r="AH519" s="406"/>
      <c r="AI519" s="294"/>
      <c r="AJ519" s="406"/>
      <c r="AK519" s="406"/>
      <c r="AL519" s="406"/>
      <c r="AM519" s="406"/>
      <c r="AN519" s="294"/>
      <c r="AO519" s="406"/>
      <c r="AP519" s="406"/>
      <c r="AQ519" s="406"/>
      <c r="AR519" s="406"/>
    </row>
    <row r="520">
      <c r="A520" s="294"/>
      <c r="B520" s="294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294"/>
      <c r="P520" s="406"/>
      <c r="Q520" s="406"/>
      <c r="R520" s="406"/>
      <c r="S520" s="406"/>
      <c r="T520" s="294"/>
      <c r="U520" s="406"/>
      <c r="V520" s="406"/>
      <c r="W520" s="406"/>
      <c r="X520" s="406"/>
      <c r="Y520" s="294"/>
      <c r="Z520" s="406"/>
      <c r="AA520" s="406"/>
      <c r="AB520" s="406"/>
      <c r="AC520" s="406"/>
      <c r="AD520" s="294"/>
      <c r="AE520" s="406"/>
      <c r="AF520" s="406"/>
      <c r="AG520" s="406"/>
      <c r="AH520" s="406"/>
      <c r="AI520" s="294"/>
      <c r="AJ520" s="406"/>
      <c r="AK520" s="406"/>
      <c r="AL520" s="406"/>
      <c r="AM520" s="406"/>
      <c r="AN520" s="294"/>
      <c r="AO520" s="406"/>
      <c r="AP520" s="406"/>
      <c r="AQ520" s="406"/>
      <c r="AR520" s="406"/>
    </row>
    <row r="521">
      <c r="A521" s="294"/>
      <c r="B521" s="294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294"/>
      <c r="P521" s="406"/>
      <c r="Q521" s="406"/>
      <c r="R521" s="406"/>
      <c r="S521" s="406"/>
      <c r="T521" s="294"/>
      <c r="U521" s="406"/>
      <c r="V521" s="406"/>
      <c r="W521" s="406"/>
      <c r="X521" s="406"/>
      <c r="Y521" s="294"/>
      <c r="Z521" s="406"/>
      <c r="AA521" s="406"/>
      <c r="AB521" s="406"/>
      <c r="AC521" s="406"/>
      <c r="AD521" s="294"/>
      <c r="AE521" s="406"/>
      <c r="AF521" s="406"/>
      <c r="AG521" s="406"/>
      <c r="AH521" s="406"/>
      <c r="AI521" s="294"/>
      <c r="AJ521" s="406"/>
      <c r="AK521" s="406"/>
      <c r="AL521" s="406"/>
      <c r="AM521" s="406"/>
      <c r="AN521" s="294"/>
      <c r="AO521" s="406"/>
      <c r="AP521" s="406"/>
      <c r="AQ521" s="406"/>
      <c r="AR521" s="406"/>
    </row>
    <row r="522">
      <c r="A522" s="294"/>
      <c r="B522" s="294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294"/>
      <c r="P522" s="406"/>
      <c r="Q522" s="406"/>
      <c r="R522" s="406"/>
      <c r="S522" s="406"/>
      <c r="T522" s="294"/>
      <c r="U522" s="406"/>
      <c r="V522" s="406"/>
      <c r="W522" s="406"/>
      <c r="X522" s="406"/>
      <c r="Y522" s="294"/>
      <c r="Z522" s="406"/>
      <c r="AA522" s="406"/>
      <c r="AB522" s="406"/>
      <c r="AC522" s="406"/>
      <c r="AD522" s="294"/>
      <c r="AE522" s="406"/>
      <c r="AF522" s="406"/>
      <c r="AG522" s="406"/>
      <c r="AH522" s="406"/>
      <c r="AI522" s="294"/>
      <c r="AJ522" s="406"/>
      <c r="AK522" s="406"/>
      <c r="AL522" s="406"/>
      <c r="AM522" s="406"/>
      <c r="AN522" s="294"/>
      <c r="AO522" s="406"/>
      <c r="AP522" s="406"/>
      <c r="AQ522" s="406"/>
      <c r="AR522" s="406"/>
    </row>
    <row r="523">
      <c r="A523" s="294"/>
      <c r="B523" s="294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294"/>
      <c r="P523" s="406"/>
      <c r="Q523" s="406"/>
      <c r="R523" s="406"/>
      <c r="S523" s="406"/>
      <c r="T523" s="294"/>
      <c r="U523" s="406"/>
      <c r="V523" s="406"/>
      <c r="W523" s="406"/>
      <c r="X523" s="406"/>
      <c r="Y523" s="294"/>
      <c r="Z523" s="406"/>
      <c r="AA523" s="406"/>
      <c r="AB523" s="406"/>
      <c r="AC523" s="406"/>
      <c r="AD523" s="294"/>
      <c r="AE523" s="406"/>
      <c r="AF523" s="406"/>
      <c r="AG523" s="406"/>
      <c r="AH523" s="406"/>
      <c r="AI523" s="294"/>
      <c r="AJ523" s="406"/>
      <c r="AK523" s="406"/>
      <c r="AL523" s="406"/>
      <c r="AM523" s="406"/>
      <c r="AN523" s="294"/>
      <c r="AO523" s="406"/>
      <c r="AP523" s="406"/>
      <c r="AQ523" s="406"/>
      <c r="AR523" s="406"/>
    </row>
    <row r="524">
      <c r="A524" s="294"/>
      <c r="B524" s="294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294"/>
      <c r="P524" s="406"/>
      <c r="Q524" s="406"/>
      <c r="R524" s="406"/>
      <c r="S524" s="406"/>
      <c r="T524" s="294"/>
      <c r="U524" s="406"/>
      <c r="V524" s="406"/>
      <c r="W524" s="406"/>
      <c r="X524" s="406"/>
      <c r="Y524" s="294"/>
      <c r="Z524" s="406"/>
      <c r="AA524" s="406"/>
      <c r="AB524" s="406"/>
      <c r="AC524" s="406"/>
      <c r="AD524" s="294"/>
      <c r="AE524" s="406"/>
      <c r="AF524" s="406"/>
      <c r="AG524" s="406"/>
      <c r="AH524" s="406"/>
      <c r="AI524" s="294"/>
      <c r="AJ524" s="406"/>
      <c r="AK524" s="406"/>
      <c r="AL524" s="406"/>
      <c r="AM524" s="406"/>
      <c r="AN524" s="294"/>
      <c r="AO524" s="406"/>
      <c r="AP524" s="406"/>
      <c r="AQ524" s="406"/>
      <c r="AR524" s="406"/>
    </row>
    <row r="525">
      <c r="A525" s="294"/>
      <c r="B525" s="294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294"/>
      <c r="P525" s="406"/>
      <c r="Q525" s="406"/>
      <c r="R525" s="406"/>
      <c r="S525" s="406"/>
      <c r="T525" s="294"/>
      <c r="U525" s="406"/>
      <c r="V525" s="406"/>
      <c r="W525" s="406"/>
      <c r="X525" s="406"/>
      <c r="Y525" s="294"/>
      <c r="Z525" s="406"/>
      <c r="AA525" s="406"/>
      <c r="AB525" s="406"/>
      <c r="AC525" s="406"/>
      <c r="AD525" s="294"/>
      <c r="AE525" s="406"/>
      <c r="AF525" s="406"/>
      <c r="AG525" s="406"/>
      <c r="AH525" s="406"/>
      <c r="AI525" s="294"/>
      <c r="AJ525" s="406"/>
      <c r="AK525" s="406"/>
      <c r="AL525" s="406"/>
      <c r="AM525" s="406"/>
      <c r="AN525" s="294"/>
      <c r="AO525" s="406"/>
      <c r="AP525" s="406"/>
      <c r="AQ525" s="406"/>
      <c r="AR525" s="406"/>
    </row>
    <row r="526">
      <c r="A526" s="294"/>
      <c r="B526" s="294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294"/>
      <c r="P526" s="406"/>
      <c r="Q526" s="406"/>
      <c r="R526" s="406"/>
      <c r="S526" s="406"/>
      <c r="T526" s="294"/>
      <c r="U526" s="406"/>
      <c r="V526" s="406"/>
      <c r="W526" s="406"/>
      <c r="X526" s="406"/>
      <c r="Y526" s="294"/>
      <c r="Z526" s="406"/>
      <c r="AA526" s="406"/>
      <c r="AB526" s="406"/>
      <c r="AC526" s="406"/>
      <c r="AD526" s="294"/>
      <c r="AE526" s="406"/>
      <c r="AF526" s="406"/>
      <c r="AG526" s="406"/>
      <c r="AH526" s="406"/>
      <c r="AI526" s="294"/>
      <c r="AJ526" s="406"/>
      <c r="AK526" s="406"/>
      <c r="AL526" s="406"/>
      <c r="AM526" s="406"/>
      <c r="AN526" s="294"/>
      <c r="AO526" s="406"/>
      <c r="AP526" s="406"/>
      <c r="AQ526" s="406"/>
      <c r="AR526" s="406"/>
    </row>
    <row r="527">
      <c r="A527" s="294"/>
      <c r="B527" s="294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294"/>
      <c r="P527" s="406"/>
      <c r="Q527" s="406"/>
      <c r="R527" s="406"/>
      <c r="S527" s="406"/>
      <c r="T527" s="294"/>
      <c r="U527" s="406"/>
      <c r="V527" s="406"/>
      <c r="W527" s="406"/>
      <c r="X527" s="406"/>
      <c r="Y527" s="294"/>
      <c r="Z527" s="406"/>
      <c r="AA527" s="406"/>
      <c r="AB527" s="406"/>
      <c r="AC527" s="406"/>
      <c r="AD527" s="294"/>
      <c r="AE527" s="406"/>
      <c r="AF527" s="406"/>
      <c r="AG527" s="406"/>
      <c r="AH527" s="406"/>
      <c r="AI527" s="294"/>
      <c r="AJ527" s="406"/>
      <c r="AK527" s="406"/>
      <c r="AL527" s="406"/>
      <c r="AM527" s="406"/>
      <c r="AN527" s="294"/>
      <c r="AO527" s="406"/>
      <c r="AP527" s="406"/>
      <c r="AQ527" s="406"/>
      <c r="AR527" s="406"/>
    </row>
    <row r="528">
      <c r="A528" s="294"/>
      <c r="B528" s="294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294"/>
      <c r="P528" s="406"/>
      <c r="Q528" s="406"/>
      <c r="R528" s="406"/>
      <c r="S528" s="406"/>
      <c r="T528" s="294"/>
      <c r="U528" s="406"/>
      <c r="V528" s="406"/>
      <c r="W528" s="406"/>
      <c r="X528" s="406"/>
      <c r="Y528" s="294"/>
      <c r="Z528" s="406"/>
      <c r="AA528" s="406"/>
      <c r="AB528" s="406"/>
      <c r="AC528" s="406"/>
      <c r="AD528" s="294"/>
      <c r="AE528" s="406"/>
      <c r="AF528" s="406"/>
      <c r="AG528" s="406"/>
      <c r="AH528" s="406"/>
      <c r="AI528" s="294"/>
      <c r="AJ528" s="406"/>
      <c r="AK528" s="406"/>
      <c r="AL528" s="406"/>
      <c r="AM528" s="406"/>
      <c r="AN528" s="294"/>
      <c r="AO528" s="406"/>
      <c r="AP528" s="406"/>
      <c r="AQ528" s="406"/>
      <c r="AR528" s="406"/>
    </row>
    <row r="529">
      <c r="A529" s="294"/>
      <c r="B529" s="294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294"/>
      <c r="P529" s="406"/>
      <c r="Q529" s="406"/>
      <c r="R529" s="406"/>
      <c r="S529" s="406"/>
      <c r="T529" s="294"/>
      <c r="U529" s="406"/>
      <c r="V529" s="406"/>
      <c r="W529" s="406"/>
      <c r="X529" s="406"/>
      <c r="Y529" s="294"/>
      <c r="Z529" s="406"/>
      <c r="AA529" s="406"/>
      <c r="AB529" s="406"/>
      <c r="AC529" s="406"/>
      <c r="AD529" s="294"/>
      <c r="AE529" s="406"/>
      <c r="AF529" s="406"/>
      <c r="AG529" s="406"/>
      <c r="AH529" s="406"/>
      <c r="AI529" s="294"/>
      <c r="AJ529" s="406"/>
      <c r="AK529" s="406"/>
      <c r="AL529" s="406"/>
      <c r="AM529" s="406"/>
      <c r="AN529" s="294"/>
      <c r="AO529" s="406"/>
      <c r="AP529" s="406"/>
      <c r="AQ529" s="406"/>
      <c r="AR529" s="406"/>
    </row>
    <row r="530">
      <c r="A530" s="294"/>
      <c r="B530" s="294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294"/>
      <c r="P530" s="406"/>
      <c r="Q530" s="406"/>
      <c r="R530" s="406"/>
      <c r="S530" s="406"/>
      <c r="T530" s="294"/>
      <c r="U530" s="406"/>
      <c r="V530" s="406"/>
      <c r="W530" s="406"/>
      <c r="X530" s="406"/>
      <c r="Y530" s="294"/>
      <c r="Z530" s="406"/>
      <c r="AA530" s="406"/>
      <c r="AB530" s="406"/>
      <c r="AC530" s="406"/>
      <c r="AD530" s="294"/>
      <c r="AE530" s="406"/>
      <c r="AF530" s="406"/>
      <c r="AG530" s="406"/>
      <c r="AH530" s="406"/>
      <c r="AI530" s="294"/>
      <c r="AJ530" s="406"/>
      <c r="AK530" s="406"/>
      <c r="AL530" s="406"/>
      <c r="AM530" s="406"/>
      <c r="AN530" s="294"/>
      <c r="AO530" s="406"/>
      <c r="AP530" s="406"/>
      <c r="AQ530" s="406"/>
      <c r="AR530" s="406"/>
    </row>
    <row r="531">
      <c r="A531" s="294"/>
      <c r="B531" s="294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294"/>
      <c r="P531" s="406"/>
      <c r="Q531" s="406"/>
      <c r="R531" s="406"/>
      <c r="S531" s="406"/>
      <c r="T531" s="294"/>
      <c r="U531" s="406"/>
      <c r="V531" s="406"/>
      <c r="W531" s="406"/>
      <c r="X531" s="406"/>
      <c r="Y531" s="294"/>
      <c r="Z531" s="406"/>
      <c r="AA531" s="406"/>
      <c r="AB531" s="406"/>
      <c r="AC531" s="406"/>
      <c r="AD531" s="294"/>
      <c r="AE531" s="406"/>
      <c r="AF531" s="406"/>
      <c r="AG531" s="406"/>
      <c r="AH531" s="406"/>
      <c r="AI531" s="294"/>
      <c r="AJ531" s="406"/>
      <c r="AK531" s="406"/>
      <c r="AL531" s="406"/>
      <c r="AM531" s="406"/>
      <c r="AN531" s="294"/>
      <c r="AO531" s="406"/>
      <c r="AP531" s="406"/>
      <c r="AQ531" s="406"/>
      <c r="AR531" s="406"/>
    </row>
    <row r="532">
      <c r="A532" s="294"/>
      <c r="B532" s="294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294"/>
      <c r="P532" s="406"/>
      <c r="Q532" s="406"/>
      <c r="R532" s="406"/>
      <c r="S532" s="406"/>
      <c r="T532" s="294"/>
      <c r="U532" s="406"/>
      <c r="V532" s="406"/>
      <c r="W532" s="406"/>
      <c r="X532" s="406"/>
      <c r="Y532" s="294"/>
      <c r="Z532" s="406"/>
      <c r="AA532" s="406"/>
      <c r="AB532" s="406"/>
      <c r="AC532" s="406"/>
      <c r="AD532" s="294"/>
      <c r="AE532" s="406"/>
      <c r="AF532" s="406"/>
      <c r="AG532" s="406"/>
      <c r="AH532" s="406"/>
      <c r="AI532" s="294"/>
      <c r="AJ532" s="406"/>
      <c r="AK532" s="406"/>
      <c r="AL532" s="406"/>
      <c r="AM532" s="406"/>
      <c r="AN532" s="294"/>
      <c r="AO532" s="406"/>
      <c r="AP532" s="406"/>
      <c r="AQ532" s="406"/>
      <c r="AR532" s="406"/>
    </row>
    <row r="533">
      <c r="A533" s="294"/>
      <c r="B533" s="294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294"/>
      <c r="P533" s="406"/>
      <c r="Q533" s="406"/>
      <c r="R533" s="406"/>
      <c r="S533" s="406"/>
      <c r="T533" s="294"/>
      <c r="U533" s="406"/>
      <c r="V533" s="406"/>
      <c r="W533" s="406"/>
      <c r="X533" s="406"/>
      <c r="Y533" s="294"/>
      <c r="Z533" s="406"/>
      <c r="AA533" s="406"/>
      <c r="AB533" s="406"/>
      <c r="AC533" s="406"/>
      <c r="AD533" s="294"/>
      <c r="AE533" s="406"/>
      <c r="AF533" s="406"/>
      <c r="AG533" s="406"/>
      <c r="AH533" s="406"/>
      <c r="AI533" s="294"/>
      <c r="AJ533" s="406"/>
      <c r="AK533" s="406"/>
      <c r="AL533" s="406"/>
      <c r="AM533" s="406"/>
      <c r="AN533" s="294"/>
      <c r="AO533" s="406"/>
      <c r="AP533" s="406"/>
      <c r="AQ533" s="406"/>
      <c r="AR533" s="406"/>
    </row>
    <row r="534">
      <c r="A534" s="294"/>
      <c r="B534" s="294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294"/>
      <c r="P534" s="406"/>
      <c r="Q534" s="406"/>
      <c r="R534" s="406"/>
      <c r="S534" s="406"/>
      <c r="T534" s="294"/>
      <c r="U534" s="406"/>
      <c r="V534" s="406"/>
      <c r="W534" s="406"/>
      <c r="X534" s="406"/>
      <c r="Y534" s="294"/>
      <c r="Z534" s="406"/>
      <c r="AA534" s="406"/>
      <c r="AB534" s="406"/>
      <c r="AC534" s="406"/>
      <c r="AD534" s="294"/>
      <c r="AE534" s="406"/>
      <c r="AF534" s="406"/>
      <c r="AG534" s="406"/>
      <c r="AH534" s="406"/>
      <c r="AI534" s="294"/>
      <c r="AJ534" s="406"/>
      <c r="AK534" s="406"/>
      <c r="AL534" s="406"/>
      <c r="AM534" s="406"/>
      <c r="AN534" s="294"/>
      <c r="AO534" s="406"/>
      <c r="AP534" s="406"/>
      <c r="AQ534" s="406"/>
      <c r="AR534" s="406"/>
    </row>
    <row r="535">
      <c r="A535" s="294"/>
      <c r="B535" s="294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294"/>
      <c r="P535" s="406"/>
      <c r="Q535" s="406"/>
      <c r="R535" s="406"/>
      <c r="S535" s="406"/>
      <c r="T535" s="294"/>
      <c r="U535" s="406"/>
      <c r="V535" s="406"/>
      <c r="W535" s="406"/>
      <c r="X535" s="406"/>
      <c r="Y535" s="294"/>
      <c r="Z535" s="406"/>
      <c r="AA535" s="406"/>
      <c r="AB535" s="406"/>
      <c r="AC535" s="406"/>
      <c r="AD535" s="294"/>
      <c r="AE535" s="406"/>
      <c r="AF535" s="406"/>
      <c r="AG535" s="406"/>
      <c r="AH535" s="406"/>
      <c r="AI535" s="294"/>
      <c r="AJ535" s="406"/>
      <c r="AK535" s="406"/>
      <c r="AL535" s="406"/>
      <c r="AM535" s="406"/>
      <c r="AN535" s="294"/>
      <c r="AO535" s="406"/>
      <c r="AP535" s="406"/>
      <c r="AQ535" s="406"/>
      <c r="AR535" s="406"/>
    </row>
    <row r="536">
      <c r="A536" s="294"/>
      <c r="B536" s="294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294"/>
      <c r="P536" s="406"/>
      <c r="Q536" s="406"/>
      <c r="R536" s="406"/>
      <c r="S536" s="406"/>
      <c r="T536" s="294"/>
      <c r="U536" s="406"/>
      <c r="V536" s="406"/>
      <c r="W536" s="406"/>
      <c r="X536" s="406"/>
      <c r="Y536" s="294"/>
      <c r="Z536" s="406"/>
      <c r="AA536" s="406"/>
      <c r="AB536" s="406"/>
      <c r="AC536" s="406"/>
      <c r="AD536" s="294"/>
      <c r="AE536" s="406"/>
      <c r="AF536" s="406"/>
      <c r="AG536" s="406"/>
      <c r="AH536" s="406"/>
      <c r="AI536" s="294"/>
      <c r="AJ536" s="406"/>
      <c r="AK536" s="406"/>
      <c r="AL536" s="406"/>
      <c r="AM536" s="406"/>
      <c r="AN536" s="294"/>
      <c r="AO536" s="406"/>
      <c r="AP536" s="406"/>
      <c r="AQ536" s="406"/>
      <c r="AR536" s="406"/>
    </row>
    <row r="537">
      <c r="A537" s="294"/>
      <c r="B537" s="294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294"/>
      <c r="P537" s="406"/>
      <c r="Q537" s="406"/>
      <c r="R537" s="406"/>
      <c r="S537" s="406"/>
      <c r="T537" s="294"/>
      <c r="U537" s="406"/>
      <c r="V537" s="406"/>
      <c r="W537" s="406"/>
      <c r="X537" s="406"/>
      <c r="Y537" s="294"/>
      <c r="Z537" s="406"/>
      <c r="AA537" s="406"/>
      <c r="AB537" s="406"/>
      <c r="AC537" s="406"/>
      <c r="AD537" s="294"/>
      <c r="AE537" s="406"/>
      <c r="AF537" s="406"/>
      <c r="AG537" s="406"/>
      <c r="AH537" s="406"/>
      <c r="AI537" s="294"/>
      <c r="AJ537" s="406"/>
      <c r="AK537" s="406"/>
      <c r="AL537" s="406"/>
      <c r="AM537" s="406"/>
      <c r="AN537" s="294"/>
      <c r="AO537" s="406"/>
      <c r="AP537" s="406"/>
      <c r="AQ537" s="406"/>
      <c r="AR537" s="406"/>
    </row>
    <row r="538">
      <c r="A538" s="294"/>
      <c r="B538" s="294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294"/>
      <c r="P538" s="406"/>
      <c r="Q538" s="406"/>
      <c r="R538" s="406"/>
      <c r="S538" s="406"/>
      <c r="T538" s="294"/>
      <c r="U538" s="406"/>
      <c r="V538" s="406"/>
      <c r="W538" s="406"/>
      <c r="X538" s="406"/>
      <c r="Y538" s="294"/>
      <c r="Z538" s="406"/>
      <c r="AA538" s="406"/>
      <c r="AB538" s="406"/>
      <c r="AC538" s="406"/>
      <c r="AD538" s="294"/>
      <c r="AE538" s="406"/>
      <c r="AF538" s="406"/>
      <c r="AG538" s="406"/>
      <c r="AH538" s="406"/>
      <c r="AI538" s="294"/>
      <c r="AJ538" s="406"/>
      <c r="AK538" s="406"/>
      <c r="AL538" s="406"/>
      <c r="AM538" s="406"/>
      <c r="AN538" s="294"/>
      <c r="AO538" s="406"/>
      <c r="AP538" s="406"/>
      <c r="AQ538" s="406"/>
      <c r="AR538" s="406"/>
    </row>
    <row r="539">
      <c r="A539" s="294"/>
      <c r="B539" s="294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294"/>
      <c r="P539" s="406"/>
      <c r="Q539" s="406"/>
      <c r="R539" s="406"/>
      <c r="S539" s="406"/>
      <c r="T539" s="294"/>
      <c r="U539" s="406"/>
      <c r="V539" s="406"/>
      <c r="W539" s="406"/>
      <c r="X539" s="406"/>
      <c r="Y539" s="294"/>
      <c r="Z539" s="406"/>
      <c r="AA539" s="406"/>
      <c r="AB539" s="406"/>
      <c r="AC539" s="406"/>
      <c r="AD539" s="294"/>
      <c r="AE539" s="406"/>
      <c r="AF539" s="406"/>
      <c r="AG539" s="406"/>
      <c r="AH539" s="406"/>
      <c r="AI539" s="294"/>
      <c r="AJ539" s="406"/>
      <c r="AK539" s="406"/>
      <c r="AL539" s="406"/>
      <c r="AM539" s="406"/>
      <c r="AN539" s="294"/>
      <c r="AO539" s="406"/>
      <c r="AP539" s="406"/>
      <c r="AQ539" s="406"/>
      <c r="AR539" s="406"/>
    </row>
    <row r="540">
      <c r="A540" s="294"/>
      <c r="B540" s="294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294"/>
      <c r="P540" s="406"/>
      <c r="Q540" s="406"/>
      <c r="R540" s="406"/>
      <c r="S540" s="406"/>
      <c r="T540" s="294"/>
      <c r="U540" s="406"/>
      <c r="V540" s="406"/>
      <c r="W540" s="406"/>
      <c r="X540" s="406"/>
      <c r="Y540" s="294"/>
      <c r="Z540" s="406"/>
      <c r="AA540" s="406"/>
      <c r="AB540" s="406"/>
      <c r="AC540" s="406"/>
      <c r="AD540" s="294"/>
      <c r="AE540" s="406"/>
      <c r="AF540" s="406"/>
      <c r="AG540" s="406"/>
      <c r="AH540" s="406"/>
      <c r="AI540" s="294"/>
      <c r="AJ540" s="406"/>
      <c r="AK540" s="406"/>
      <c r="AL540" s="406"/>
      <c r="AM540" s="406"/>
      <c r="AN540" s="294"/>
      <c r="AO540" s="406"/>
      <c r="AP540" s="406"/>
      <c r="AQ540" s="406"/>
      <c r="AR540" s="406"/>
    </row>
    <row r="541">
      <c r="A541" s="294"/>
      <c r="B541" s="294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294"/>
      <c r="P541" s="406"/>
      <c r="Q541" s="406"/>
      <c r="R541" s="406"/>
      <c r="S541" s="406"/>
      <c r="T541" s="294"/>
      <c r="U541" s="406"/>
      <c r="V541" s="406"/>
      <c r="W541" s="406"/>
      <c r="X541" s="406"/>
      <c r="Y541" s="294"/>
      <c r="Z541" s="406"/>
      <c r="AA541" s="406"/>
      <c r="AB541" s="406"/>
      <c r="AC541" s="406"/>
      <c r="AD541" s="294"/>
      <c r="AE541" s="406"/>
      <c r="AF541" s="406"/>
      <c r="AG541" s="406"/>
      <c r="AH541" s="406"/>
      <c r="AI541" s="294"/>
      <c r="AJ541" s="406"/>
      <c r="AK541" s="406"/>
      <c r="AL541" s="406"/>
      <c r="AM541" s="406"/>
      <c r="AN541" s="294"/>
      <c r="AO541" s="406"/>
      <c r="AP541" s="406"/>
      <c r="AQ541" s="406"/>
      <c r="AR541" s="406"/>
    </row>
    <row r="542">
      <c r="A542" s="294"/>
      <c r="B542" s="294"/>
      <c r="C542" s="406"/>
      <c r="D542" s="406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294"/>
      <c r="P542" s="406"/>
      <c r="Q542" s="406"/>
      <c r="R542" s="406"/>
      <c r="S542" s="406"/>
      <c r="T542" s="294"/>
      <c r="U542" s="406"/>
      <c r="V542" s="406"/>
      <c r="W542" s="406"/>
      <c r="X542" s="406"/>
      <c r="Y542" s="294"/>
      <c r="Z542" s="406"/>
      <c r="AA542" s="406"/>
      <c r="AB542" s="406"/>
      <c r="AC542" s="406"/>
      <c r="AD542" s="294"/>
      <c r="AE542" s="406"/>
      <c r="AF542" s="406"/>
      <c r="AG542" s="406"/>
      <c r="AH542" s="406"/>
      <c r="AI542" s="294"/>
      <c r="AJ542" s="406"/>
      <c r="AK542" s="406"/>
      <c r="AL542" s="406"/>
      <c r="AM542" s="406"/>
      <c r="AN542" s="294"/>
      <c r="AO542" s="406"/>
      <c r="AP542" s="406"/>
      <c r="AQ542" s="406"/>
      <c r="AR542" s="406"/>
    </row>
    <row r="543">
      <c r="A543" s="294"/>
      <c r="B543" s="294"/>
      <c r="C543" s="406"/>
      <c r="D543" s="406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294"/>
      <c r="P543" s="406"/>
      <c r="Q543" s="406"/>
      <c r="R543" s="406"/>
      <c r="S543" s="406"/>
      <c r="T543" s="294"/>
      <c r="U543" s="406"/>
      <c r="V543" s="406"/>
      <c r="W543" s="406"/>
      <c r="X543" s="406"/>
      <c r="Y543" s="294"/>
      <c r="Z543" s="406"/>
      <c r="AA543" s="406"/>
      <c r="AB543" s="406"/>
      <c r="AC543" s="406"/>
      <c r="AD543" s="294"/>
      <c r="AE543" s="406"/>
      <c r="AF543" s="406"/>
      <c r="AG543" s="406"/>
      <c r="AH543" s="406"/>
      <c r="AI543" s="294"/>
      <c r="AJ543" s="406"/>
      <c r="AK543" s="406"/>
      <c r="AL543" s="406"/>
      <c r="AM543" s="406"/>
      <c r="AN543" s="294"/>
      <c r="AO543" s="406"/>
      <c r="AP543" s="406"/>
      <c r="AQ543" s="406"/>
      <c r="AR543" s="406"/>
    </row>
    <row r="544">
      <c r="A544" s="294"/>
      <c r="B544" s="294"/>
      <c r="C544" s="406"/>
      <c r="D544" s="406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294"/>
      <c r="P544" s="406"/>
      <c r="Q544" s="406"/>
      <c r="R544" s="406"/>
      <c r="S544" s="406"/>
      <c r="T544" s="294"/>
      <c r="U544" s="406"/>
      <c r="V544" s="406"/>
      <c r="W544" s="406"/>
      <c r="X544" s="406"/>
      <c r="Y544" s="294"/>
      <c r="Z544" s="406"/>
      <c r="AA544" s="406"/>
      <c r="AB544" s="406"/>
      <c r="AC544" s="406"/>
      <c r="AD544" s="294"/>
      <c r="AE544" s="406"/>
      <c r="AF544" s="406"/>
      <c r="AG544" s="406"/>
      <c r="AH544" s="406"/>
      <c r="AI544" s="294"/>
      <c r="AJ544" s="406"/>
      <c r="AK544" s="406"/>
      <c r="AL544" s="406"/>
      <c r="AM544" s="406"/>
      <c r="AN544" s="294"/>
      <c r="AO544" s="406"/>
      <c r="AP544" s="406"/>
      <c r="AQ544" s="406"/>
      <c r="AR544" s="406"/>
    </row>
    <row r="545">
      <c r="A545" s="294"/>
      <c r="B545" s="294"/>
      <c r="C545" s="406"/>
      <c r="D545" s="406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294"/>
      <c r="P545" s="406"/>
      <c r="Q545" s="406"/>
      <c r="R545" s="406"/>
      <c r="S545" s="406"/>
      <c r="T545" s="294"/>
      <c r="U545" s="406"/>
      <c r="V545" s="406"/>
      <c r="W545" s="406"/>
      <c r="X545" s="406"/>
      <c r="Y545" s="294"/>
      <c r="Z545" s="406"/>
      <c r="AA545" s="406"/>
      <c r="AB545" s="406"/>
      <c r="AC545" s="406"/>
      <c r="AD545" s="294"/>
      <c r="AE545" s="406"/>
      <c r="AF545" s="406"/>
      <c r="AG545" s="406"/>
      <c r="AH545" s="406"/>
      <c r="AI545" s="294"/>
      <c r="AJ545" s="406"/>
      <c r="AK545" s="406"/>
      <c r="AL545" s="406"/>
      <c r="AM545" s="406"/>
      <c r="AN545" s="294"/>
      <c r="AO545" s="406"/>
      <c r="AP545" s="406"/>
      <c r="AQ545" s="406"/>
      <c r="AR545" s="406"/>
    </row>
    <row r="546">
      <c r="A546" s="294"/>
      <c r="B546" s="294"/>
      <c r="C546" s="406"/>
      <c r="D546" s="406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294"/>
      <c r="P546" s="406"/>
      <c r="Q546" s="406"/>
      <c r="R546" s="406"/>
      <c r="S546" s="406"/>
      <c r="T546" s="294"/>
      <c r="U546" s="406"/>
      <c r="V546" s="406"/>
      <c r="W546" s="406"/>
      <c r="X546" s="406"/>
      <c r="Y546" s="294"/>
      <c r="Z546" s="406"/>
      <c r="AA546" s="406"/>
      <c r="AB546" s="406"/>
      <c r="AC546" s="406"/>
      <c r="AD546" s="294"/>
      <c r="AE546" s="406"/>
      <c r="AF546" s="406"/>
      <c r="AG546" s="406"/>
      <c r="AH546" s="406"/>
      <c r="AI546" s="294"/>
      <c r="AJ546" s="406"/>
      <c r="AK546" s="406"/>
      <c r="AL546" s="406"/>
      <c r="AM546" s="406"/>
      <c r="AN546" s="294"/>
      <c r="AO546" s="406"/>
      <c r="AP546" s="406"/>
      <c r="AQ546" s="406"/>
      <c r="AR546" s="406"/>
    </row>
    <row r="547">
      <c r="A547" s="294"/>
      <c r="B547" s="294"/>
      <c r="C547" s="406"/>
      <c r="D547" s="406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294"/>
      <c r="P547" s="406"/>
      <c r="Q547" s="406"/>
      <c r="R547" s="406"/>
      <c r="S547" s="406"/>
      <c r="T547" s="294"/>
      <c r="U547" s="406"/>
      <c r="V547" s="406"/>
      <c r="W547" s="406"/>
      <c r="X547" s="406"/>
      <c r="Y547" s="294"/>
      <c r="Z547" s="406"/>
      <c r="AA547" s="406"/>
      <c r="AB547" s="406"/>
      <c r="AC547" s="406"/>
      <c r="AD547" s="294"/>
      <c r="AE547" s="406"/>
      <c r="AF547" s="406"/>
      <c r="AG547" s="406"/>
      <c r="AH547" s="406"/>
      <c r="AI547" s="294"/>
      <c r="AJ547" s="406"/>
      <c r="AK547" s="406"/>
      <c r="AL547" s="406"/>
      <c r="AM547" s="406"/>
      <c r="AN547" s="294"/>
      <c r="AO547" s="406"/>
      <c r="AP547" s="406"/>
      <c r="AQ547" s="406"/>
      <c r="AR547" s="406"/>
    </row>
    <row r="548">
      <c r="A548" s="294"/>
      <c r="B548" s="294"/>
      <c r="C548" s="406"/>
      <c r="D548" s="406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294"/>
      <c r="P548" s="406"/>
      <c r="Q548" s="406"/>
      <c r="R548" s="406"/>
      <c r="S548" s="406"/>
      <c r="T548" s="294"/>
      <c r="U548" s="406"/>
      <c r="V548" s="406"/>
      <c r="W548" s="406"/>
      <c r="X548" s="406"/>
      <c r="Y548" s="294"/>
      <c r="Z548" s="406"/>
      <c r="AA548" s="406"/>
      <c r="AB548" s="406"/>
      <c r="AC548" s="406"/>
      <c r="AD548" s="294"/>
      <c r="AE548" s="406"/>
      <c r="AF548" s="406"/>
      <c r="AG548" s="406"/>
      <c r="AH548" s="406"/>
      <c r="AI548" s="294"/>
      <c r="AJ548" s="406"/>
      <c r="AK548" s="406"/>
      <c r="AL548" s="406"/>
      <c r="AM548" s="406"/>
      <c r="AN548" s="294"/>
      <c r="AO548" s="406"/>
      <c r="AP548" s="406"/>
      <c r="AQ548" s="406"/>
      <c r="AR548" s="406"/>
    </row>
    <row r="549">
      <c r="A549" s="294"/>
      <c r="B549" s="294"/>
      <c r="C549" s="406"/>
      <c r="D549" s="406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294"/>
      <c r="P549" s="406"/>
      <c r="Q549" s="406"/>
      <c r="R549" s="406"/>
      <c r="S549" s="406"/>
      <c r="T549" s="294"/>
      <c r="U549" s="406"/>
      <c r="V549" s="406"/>
      <c r="W549" s="406"/>
      <c r="X549" s="406"/>
      <c r="Y549" s="294"/>
      <c r="Z549" s="406"/>
      <c r="AA549" s="406"/>
      <c r="AB549" s="406"/>
      <c r="AC549" s="406"/>
      <c r="AD549" s="294"/>
      <c r="AE549" s="406"/>
      <c r="AF549" s="406"/>
      <c r="AG549" s="406"/>
      <c r="AH549" s="406"/>
      <c r="AI549" s="294"/>
      <c r="AJ549" s="406"/>
      <c r="AK549" s="406"/>
      <c r="AL549" s="406"/>
      <c r="AM549" s="406"/>
      <c r="AN549" s="294"/>
      <c r="AO549" s="406"/>
      <c r="AP549" s="406"/>
      <c r="AQ549" s="406"/>
      <c r="AR549" s="406"/>
    </row>
    <row r="550">
      <c r="A550" s="294"/>
      <c r="B550" s="294"/>
      <c r="C550" s="406"/>
      <c r="D550" s="406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294"/>
      <c r="P550" s="406"/>
      <c r="Q550" s="406"/>
      <c r="R550" s="406"/>
      <c r="S550" s="406"/>
      <c r="T550" s="294"/>
      <c r="U550" s="406"/>
      <c r="V550" s="406"/>
      <c r="W550" s="406"/>
      <c r="X550" s="406"/>
      <c r="Y550" s="294"/>
      <c r="Z550" s="406"/>
      <c r="AA550" s="406"/>
      <c r="AB550" s="406"/>
      <c r="AC550" s="406"/>
      <c r="AD550" s="294"/>
      <c r="AE550" s="406"/>
      <c r="AF550" s="406"/>
      <c r="AG550" s="406"/>
      <c r="AH550" s="406"/>
      <c r="AI550" s="294"/>
      <c r="AJ550" s="406"/>
      <c r="AK550" s="406"/>
      <c r="AL550" s="406"/>
      <c r="AM550" s="406"/>
      <c r="AN550" s="294"/>
      <c r="AO550" s="406"/>
      <c r="AP550" s="406"/>
      <c r="AQ550" s="406"/>
      <c r="AR550" s="406"/>
    </row>
    <row r="551">
      <c r="A551" s="294"/>
      <c r="B551" s="294"/>
      <c r="C551" s="406"/>
      <c r="D551" s="406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294"/>
      <c r="P551" s="406"/>
      <c r="Q551" s="406"/>
      <c r="R551" s="406"/>
      <c r="S551" s="406"/>
      <c r="T551" s="294"/>
      <c r="U551" s="406"/>
      <c r="V551" s="406"/>
      <c r="W551" s="406"/>
      <c r="X551" s="406"/>
      <c r="Y551" s="294"/>
      <c r="Z551" s="406"/>
      <c r="AA551" s="406"/>
      <c r="AB551" s="406"/>
      <c r="AC551" s="406"/>
      <c r="AD551" s="294"/>
      <c r="AE551" s="406"/>
      <c r="AF551" s="406"/>
      <c r="AG551" s="406"/>
      <c r="AH551" s="406"/>
      <c r="AI551" s="294"/>
      <c r="AJ551" s="406"/>
      <c r="AK551" s="406"/>
      <c r="AL551" s="406"/>
      <c r="AM551" s="406"/>
      <c r="AN551" s="294"/>
      <c r="AO551" s="406"/>
      <c r="AP551" s="406"/>
      <c r="AQ551" s="406"/>
      <c r="AR551" s="406"/>
    </row>
    <row r="552">
      <c r="A552" s="294"/>
      <c r="B552" s="294"/>
      <c r="C552" s="406"/>
      <c r="D552" s="406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294"/>
      <c r="P552" s="406"/>
      <c r="Q552" s="406"/>
      <c r="R552" s="406"/>
      <c r="S552" s="406"/>
      <c r="T552" s="294"/>
      <c r="U552" s="406"/>
      <c r="V552" s="406"/>
      <c r="W552" s="406"/>
      <c r="X552" s="406"/>
      <c r="Y552" s="294"/>
      <c r="Z552" s="406"/>
      <c r="AA552" s="406"/>
      <c r="AB552" s="406"/>
      <c r="AC552" s="406"/>
      <c r="AD552" s="294"/>
      <c r="AE552" s="406"/>
      <c r="AF552" s="406"/>
      <c r="AG552" s="406"/>
      <c r="AH552" s="406"/>
      <c r="AI552" s="294"/>
      <c r="AJ552" s="406"/>
      <c r="AK552" s="406"/>
      <c r="AL552" s="406"/>
      <c r="AM552" s="406"/>
      <c r="AN552" s="294"/>
      <c r="AO552" s="406"/>
      <c r="AP552" s="406"/>
      <c r="AQ552" s="406"/>
      <c r="AR552" s="406"/>
    </row>
    <row r="553">
      <c r="A553" s="294"/>
      <c r="B553" s="294"/>
      <c r="C553" s="406"/>
      <c r="D553" s="406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294"/>
      <c r="P553" s="406"/>
      <c r="Q553" s="406"/>
      <c r="R553" s="406"/>
      <c r="S553" s="406"/>
      <c r="T553" s="294"/>
      <c r="U553" s="406"/>
      <c r="V553" s="406"/>
      <c r="W553" s="406"/>
      <c r="X553" s="406"/>
      <c r="Y553" s="294"/>
      <c r="Z553" s="406"/>
      <c r="AA553" s="406"/>
      <c r="AB553" s="406"/>
      <c r="AC553" s="406"/>
      <c r="AD553" s="294"/>
      <c r="AE553" s="406"/>
      <c r="AF553" s="406"/>
      <c r="AG553" s="406"/>
      <c r="AH553" s="406"/>
      <c r="AI553" s="294"/>
      <c r="AJ553" s="406"/>
      <c r="AK553" s="406"/>
      <c r="AL553" s="406"/>
      <c r="AM553" s="406"/>
      <c r="AN553" s="294"/>
      <c r="AO553" s="406"/>
      <c r="AP553" s="406"/>
      <c r="AQ553" s="406"/>
      <c r="AR553" s="406"/>
    </row>
    <row r="554">
      <c r="A554" s="294"/>
      <c r="B554" s="294"/>
      <c r="C554" s="406"/>
      <c r="D554" s="406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294"/>
      <c r="P554" s="406"/>
      <c r="Q554" s="406"/>
      <c r="R554" s="406"/>
      <c r="S554" s="406"/>
      <c r="T554" s="294"/>
      <c r="U554" s="406"/>
      <c r="V554" s="406"/>
      <c r="W554" s="406"/>
      <c r="X554" s="406"/>
      <c r="Y554" s="294"/>
      <c r="Z554" s="406"/>
      <c r="AA554" s="406"/>
      <c r="AB554" s="406"/>
      <c r="AC554" s="406"/>
      <c r="AD554" s="294"/>
      <c r="AE554" s="406"/>
      <c r="AF554" s="406"/>
      <c r="AG554" s="406"/>
      <c r="AH554" s="406"/>
      <c r="AI554" s="294"/>
      <c r="AJ554" s="406"/>
      <c r="AK554" s="406"/>
      <c r="AL554" s="406"/>
      <c r="AM554" s="406"/>
      <c r="AN554" s="294"/>
      <c r="AO554" s="406"/>
      <c r="AP554" s="406"/>
      <c r="AQ554" s="406"/>
      <c r="AR554" s="406"/>
    </row>
    <row r="555">
      <c r="A555" s="294"/>
      <c r="B555" s="294"/>
      <c r="C555" s="406"/>
      <c r="D555" s="406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294"/>
      <c r="P555" s="406"/>
      <c r="Q555" s="406"/>
      <c r="R555" s="406"/>
      <c r="S555" s="406"/>
      <c r="T555" s="294"/>
      <c r="U555" s="406"/>
      <c r="V555" s="406"/>
      <c r="W555" s="406"/>
      <c r="X555" s="406"/>
      <c r="Y555" s="294"/>
      <c r="Z555" s="406"/>
      <c r="AA555" s="406"/>
      <c r="AB555" s="406"/>
      <c r="AC555" s="406"/>
      <c r="AD555" s="294"/>
      <c r="AE555" s="406"/>
      <c r="AF555" s="406"/>
      <c r="AG555" s="406"/>
      <c r="AH555" s="406"/>
      <c r="AI555" s="294"/>
      <c r="AJ555" s="406"/>
      <c r="AK555" s="406"/>
      <c r="AL555" s="406"/>
      <c r="AM555" s="406"/>
      <c r="AN555" s="294"/>
      <c r="AO555" s="406"/>
      <c r="AP555" s="406"/>
      <c r="AQ555" s="406"/>
      <c r="AR555" s="406"/>
    </row>
    <row r="556">
      <c r="A556" s="294"/>
      <c r="B556" s="294"/>
      <c r="C556" s="406"/>
      <c r="D556" s="406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294"/>
      <c r="P556" s="406"/>
      <c r="Q556" s="406"/>
      <c r="R556" s="406"/>
      <c r="S556" s="406"/>
      <c r="T556" s="294"/>
      <c r="U556" s="406"/>
      <c r="V556" s="406"/>
      <c r="W556" s="406"/>
      <c r="X556" s="406"/>
      <c r="Y556" s="294"/>
      <c r="Z556" s="406"/>
      <c r="AA556" s="406"/>
      <c r="AB556" s="406"/>
      <c r="AC556" s="406"/>
      <c r="AD556" s="294"/>
      <c r="AE556" s="406"/>
      <c r="AF556" s="406"/>
      <c r="AG556" s="406"/>
      <c r="AH556" s="406"/>
      <c r="AI556" s="294"/>
      <c r="AJ556" s="406"/>
      <c r="AK556" s="406"/>
      <c r="AL556" s="406"/>
      <c r="AM556" s="406"/>
      <c r="AN556" s="294"/>
      <c r="AO556" s="406"/>
      <c r="AP556" s="406"/>
      <c r="AQ556" s="406"/>
      <c r="AR556" s="406"/>
    </row>
    <row r="557">
      <c r="A557" s="294"/>
      <c r="B557" s="294"/>
      <c r="C557" s="406"/>
      <c r="D557" s="406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294"/>
      <c r="P557" s="406"/>
      <c r="Q557" s="406"/>
      <c r="R557" s="406"/>
      <c r="S557" s="406"/>
      <c r="T557" s="294"/>
      <c r="U557" s="406"/>
      <c r="V557" s="406"/>
      <c r="W557" s="406"/>
      <c r="X557" s="406"/>
      <c r="Y557" s="294"/>
      <c r="Z557" s="406"/>
      <c r="AA557" s="406"/>
      <c r="AB557" s="406"/>
      <c r="AC557" s="406"/>
      <c r="AD557" s="294"/>
      <c r="AE557" s="406"/>
      <c r="AF557" s="406"/>
      <c r="AG557" s="406"/>
      <c r="AH557" s="406"/>
      <c r="AI557" s="294"/>
      <c r="AJ557" s="406"/>
      <c r="AK557" s="406"/>
      <c r="AL557" s="406"/>
      <c r="AM557" s="406"/>
      <c r="AN557" s="294"/>
      <c r="AO557" s="406"/>
      <c r="AP557" s="406"/>
      <c r="AQ557" s="406"/>
      <c r="AR557" s="406"/>
    </row>
    <row r="558">
      <c r="A558" s="294"/>
      <c r="B558" s="294"/>
      <c r="C558" s="406"/>
      <c r="D558" s="406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294"/>
      <c r="P558" s="406"/>
      <c r="Q558" s="406"/>
      <c r="R558" s="406"/>
      <c r="S558" s="406"/>
      <c r="T558" s="294"/>
      <c r="U558" s="406"/>
      <c r="V558" s="406"/>
      <c r="W558" s="406"/>
      <c r="X558" s="406"/>
      <c r="Y558" s="294"/>
      <c r="Z558" s="406"/>
      <c r="AA558" s="406"/>
      <c r="AB558" s="406"/>
      <c r="AC558" s="406"/>
      <c r="AD558" s="294"/>
      <c r="AE558" s="406"/>
      <c r="AF558" s="406"/>
      <c r="AG558" s="406"/>
      <c r="AH558" s="406"/>
      <c r="AI558" s="294"/>
      <c r="AJ558" s="406"/>
      <c r="AK558" s="406"/>
      <c r="AL558" s="406"/>
      <c r="AM558" s="406"/>
      <c r="AN558" s="294"/>
      <c r="AO558" s="406"/>
      <c r="AP558" s="406"/>
      <c r="AQ558" s="406"/>
      <c r="AR558" s="406"/>
    </row>
    <row r="559">
      <c r="A559" s="294"/>
      <c r="B559" s="294"/>
      <c r="C559" s="406"/>
      <c r="D559" s="406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294"/>
      <c r="P559" s="406"/>
      <c r="Q559" s="406"/>
      <c r="R559" s="406"/>
      <c r="S559" s="406"/>
      <c r="T559" s="294"/>
      <c r="U559" s="406"/>
      <c r="V559" s="406"/>
      <c r="W559" s="406"/>
      <c r="X559" s="406"/>
      <c r="Y559" s="294"/>
      <c r="Z559" s="406"/>
      <c r="AA559" s="406"/>
      <c r="AB559" s="406"/>
      <c r="AC559" s="406"/>
      <c r="AD559" s="294"/>
      <c r="AE559" s="406"/>
      <c r="AF559" s="406"/>
      <c r="AG559" s="406"/>
      <c r="AH559" s="406"/>
      <c r="AI559" s="294"/>
      <c r="AJ559" s="406"/>
      <c r="AK559" s="406"/>
      <c r="AL559" s="406"/>
      <c r="AM559" s="406"/>
      <c r="AN559" s="294"/>
      <c r="AO559" s="406"/>
      <c r="AP559" s="406"/>
      <c r="AQ559" s="406"/>
      <c r="AR559" s="406"/>
    </row>
    <row r="560">
      <c r="A560" s="294"/>
      <c r="B560" s="294"/>
      <c r="C560" s="406"/>
      <c r="D560" s="406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294"/>
      <c r="P560" s="406"/>
      <c r="Q560" s="406"/>
      <c r="R560" s="406"/>
      <c r="S560" s="406"/>
      <c r="T560" s="294"/>
      <c r="U560" s="406"/>
      <c r="V560" s="406"/>
      <c r="W560" s="406"/>
      <c r="X560" s="406"/>
      <c r="Y560" s="294"/>
      <c r="Z560" s="406"/>
      <c r="AA560" s="406"/>
      <c r="AB560" s="406"/>
      <c r="AC560" s="406"/>
      <c r="AD560" s="294"/>
      <c r="AE560" s="406"/>
      <c r="AF560" s="406"/>
      <c r="AG560" s="406"/>
      <c r="AH560" s="406"/>
      <c r="AI560" s="294"/>
      <c r="AJ560" s="406"/>
      <c r="AK560" s="406"/>
      <c r="AL560" s="406"/>
      <c r="AM560" s="406"/>
      <c r="AN560" s="294"/>
      <c r="AO560" s="406"/>
      <c r="AP560" s="406"/>
      <c r="AQ560" s="406"/>
      <c r="AR560" s="406"/>
    </row>
    <row r="561">
      <c r="A561" s="294"/>
      <c r="B561" s="294"/>
      <c r="C561" s="406"/>
      <c r="D561" s="406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294"/>
      <c r="P561" s="406"/>
      <c r="Q561" s="406"/>
      <c r="R561" s="406"/>
      <c r="S561" s="406"/>
      <c r="T561" s="294"/>
      <c r="U561" s="406"/>
      <c r="V561" s="406"/>
      <c r="W561" s="406"/>
      <c r="X561" s="406"/>
      <c r="Y561" s="294"/>
      <c r="Z561" s="406"/>
      <c r="AA561" s="406"/>
      <c r="AB561" s="406"/>
      <c r="AC561" s="406"/>
      <c r="AD561" s="294"/>
      <c r="AE561" s="406"/>
      <c r="AF561" s="406"/>
      <c r="AG561" s="406"/>
      <c r="AH561" s="406"/>
      <c r="AI561" s="294"/>
      <c r="AJ561" s="406"/>
      <c r="AK561" s="406"/>
      <c r="AL561" s="406"/>
      <c r="AM561" s="406"/>
      <c r="AN561" s="294"/>
      <c r="AO561" s="406"/>
      <c r="AP561" s="406"/>
      <c r="AQ561" s="406"/>
      <c r="AR561" s="406"/>
    </row>
    <row r="562">
      <c r="A562" s="294"/>
      <c r="B562" s="294"/>
      <c r="C562" s="406"/>
      <c r="D562" s="406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294"/>
      <c r="P562" s="406"/>
      <c r="Q562" s="406"/>
      <c r="R562" s="406"/>
      <c r="S562" s="406"/>
      <c r="T562" s="294"/>
      <c r="U562" s="406"/>
      <c r="V562" s="406"/>
      <c r="W562" s="406"/>
      <c r="X562" s="406"/>
      <c r="Y562" s="294"/>
      <c r="Z562" s="406"/>
      <c r="AA562" s="406"/>
      <c r="AB562" s="406"/>
      <c r="AC562" s="406"/>
      <c r="AD562" s="294"/>
      <c r="AE562" s="406"/>
      <c r="AF562" s="406"/>
      <c r="AG562" s="406"/>
      <c r="AH562" s="406"/>
      <c r="AI562" s="294"/>
      <c r="AJ562" s="406"/>
      <c r="AK562" s="406"/>
      <c r="AL562" s="406"/>
      <c r="AM562" s="406"/>
      <c r="AN562" s="294"/>
      <c r="AO562" s="406"/>
      <c r="AP562" s="406"/>
      <c r="AQ562" s="406"/>
      <c r="AR562" s="406"/>
    </row>
    <row r="563">
      <c r="A563" s="294"/>
      <c r="B563" s="294"/>
      <c r="C563" s="406"/>
      <c r="D563" s="406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294"/>
      <c r="P563" s="406"/>
      <c r="Q563" s="406"/>
      <c r="R563" s="406"/>
      <c r="S563" s="406"/>
      <c r="T563" s="294"/>
      <c r="U563" s="406"/>
      <c r="V563" s="406"/>
      <c r="W563" s="406"/>
      <c r="X563" s="406"/>
      <c r="Y563" s="294"/>
      <c r="Z563" s="406"/>
      <c r="AA563" s="406"/>
      <c r="AB563" s="406"/>
      <c r="AC563" s="406"/>
      <c r="AD563" s="294"/>
      <c r="AE563" s="406"/>
      <c r="AF563" s="406"/>
      <c r="AG563" s="406"/>
      <c r="AH563" s="406"/>
      <c r="AI563" s="294"/>
      <c r="AJ563" s="406"/>
      <c r="AK563" s="406"/>
      <c r="AL563" s="406"/>
      <c r="AM563" s="406"/>
      <c r="AN563" s="294"/>
      <c r="AO563" s="406"/>
      <c r="AP563" s="406"/>
      <c r="AQ563" s="406"/>
      <c r="AR563" s="406"/>
    </row>
    <row r="564">
      <c r="A564" s="294"/>
      <c r="B564" s="294"/>
      <c r="C564" s="406"/>
      <c r="D564" s="406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294"/>
      <c r="P564" s="406"/>
      <c r="Q564" s="406"/>
      <c r="R564" s="406"/>
      <c r="S564" s="406"/>
      <c r="T564" s="294"/>
      <c r="U564" s="406"/>
      <c r="V564" s="406"/>
      <c r="W564" s="406"/>
      <c r="X564" s="406"/>
      <c r="Y564" s="294"/>
      <c r="Z564" s="406"/>
      <c r="AA564" s="406"/>
      <c r="AB564" s="406"/>
      <c r="AC564" s="406"/>
      <c r="AD564" s="294"/>
      <c r="AE564" s="406"/>
      <c r="AF564" s="406"/>
      <c r="AG564" s="406"/>
      <c r="AH564" s="406"/>
      <c r="AI564" s="294"/>
      <c r="AJ564" s="406"/>
      <c r="AK564" s="406"/>
      <c r="AL564" s="406"/>
      <c r="AM564" s="406"/>
      <c r="AN564" s="294"/>
      <c r="AO564" s="406"/>
      <c r="AP564" s="406"/>
      <c r="AQ564" s="406"/>
      <c r="AR564" s="406"/>
    </row>
    <row r="565">
      <c r="A565" s="294"/>
      <c r="B565" s="294"/>
      <c r="C565" s="406"/>
      <c r="D565" s="406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294"/>
      <c r="P565" s="406"/>
      <c r="Q565" s="406"/>
      <c r="R565" s="406"/>
      <c r="S565" s="406"/>
      <c r="T565" s="294"/>
      <c r="U565" s="406"/>
      <c r="V565" s="406"/>
      <c r="W565" s="406"/>
      <c r="X565" s="406"/>
      <c r="Y565" s="294"/>
      <c r="Z565" s="406"/>
      <c r="AA565" s="406"/>
      <c r="AB565" s="406"/>
      <c r="AC565" s="406"/>
      <c r="AD565" s="294"/>
      <c r="AE565" s="406"/>
      <c r="AF565" s="406"/>
      <c r="AG565" s="406"/>
      <c r="AH565" s="406"/>
      <c r="AI565" s="294"/>
      <c r="AJ565" s="406"/>
      <c r="AK565" s="406"/>
      <c r="AL565" s="406"/>
      <c r="AM565" s="406"/>
      <c r="AN565" s="294"/>
      <c r="AO565" s="406"/>
      <c r="AP565" s="406"/>
      <c r="AQ565" s="406"/>
      <c r="AR565" s="406"/>
    </row>
    <row r="566">
      <c r="A566" s="294"/>
      <c r="B566" s="294"/>
      <c r="C566" s="406"/>
      <c r="D566" s="406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294"/>
      <c r="P566" s="406"/>
      <c r="Q566" s="406"/>
      <c r="R566" s="406"/>
      <c r="S566" s="406"/>
      <c r="T566" s="294"/>
      <c r="U566" s="406"/>
      <c r="V566" s="406"/>
      <c r="W566" s="406"/>
      <c r="X566" s="406"/>
      <c r="Y566" s="294"/>
      <c r="Z566" s="406"/>
      <c r="AA566" s="406"/>
      <c r="AB566" s="406"/>
      <c r="AC566" s="406"/>
      <c r="AD566" s="294"/>
      <c r="AE566" s="406"/>
      <c r="AF566" s="406"/>
      <c r="AG566" s="406"/>
      <c r="AH566" s="406"/>
      <c r="AI566" s="294"/>
      <c r="AJ566" s="406"/>
      <c r="AK566" s="406"/>
      <c r="AL566" s="406"/>
      <c r="AM566" s="406"/>
      <c r="AN566" s="294"/>
      <c r="AO566" s="406"/>
      <c r="AP566" s="406"/>
      <c r="AQ566" s="406"/>
      <c r="AR566" s="406"/>
    </row>
    <row r="567">
      <c r="A567" s="294"/>
      <c r="B567" s="294"/>
      <c r="C567" s="406"/>
      <c r="D567" s="406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294"/>
      <c r="P567" s="406"/>
      <c r="Q567" s="406"/>
      <c r="R567" s="406"/>
      <c r="S567" s="406"/>
      <c r="T567" s="294"/>
      <c r="U567" s="406"/>
      <c r="V567" s="406"/>
      <c r="W567" s="406"/>
      <c r="X567" s="406"/>
      <c r="Y567" s="294"/>
      <c r="Z567" s="406"/>
      <c r="AA567" s="406"/>
      <c r="AB567" s="406"/>
      <c r="AC567" s="406"/>
      <c r="AD567" s="294"/>
      <c r="AE567" s="406"/>
      <c r="AF567" s="406"/>
      <c r="AG567" s="406"/>
      <c r="AH567" s="406"/>
      <c r="AI567" s="294"/>
      <c r="AJ567" s="406"/>
      <c r="AK567" s="406"/>
      <c r="AL567" s="406"/>
      <c r="AM567" s="406"/>
      <c r="AN567" s="294"/>
      <c r="AO567" s="406"/>
      <c r="AP567" s="406"/>
      <c r="AQ567" s="406"/>
      <c r="AR567" s="406"/>
    </row>
    <row r="568">
      <c r="A568" s="294"/>
      <c r="B568" s="294"/>
      <c r="C568" s="406"/>
      <c r="D568" s="406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294"/>
      <c r="P568" s="406"/>
      <c r="Q568" s="406"/>
      <c r="R568" s="406"/>
      <c r="S568" s="406"/>
      <c r="T568" s="294"/>
      <c r="U568" s="406"/>
      <c r="V568" s="406"/>
      <c r="W568" s="406"/>
      <c r="X568" s="406"/>
      <c r="Y568" s="294"/>
      <c r="Z568" s="406"/>
      <c r="AA568" s="406"/>
      <c r="AB568" s="406"/>
      <c r="AC568" s="406"/>
      <c r="AD568" s="294"/>
      <c r="AE568" s="406"/>
      <c r="AF568" s="406"/>
      <c r="AG568" s="406"/>
      <c r="AH568" s="406"/>
      <c r="AI568" s="294"/>
      <c r="AJ568" s="406"/>
      <c r="AK568" s="406"/>
      <c r="AL568" s="406"/>
      <c r="AM568" s="406"/>
      <c r="AN568" s="294"/>
      <c r="AO568" s="406"/>
      <c r="AP568" s="406"/>
      <c r="AQ568" s="406"/>
      <c r="AR568" s="406"/>
    </row>
    <row r="569">
      <c r="A569" s="294"/>
      <c r="B569" s="294"/>
      <c r="C569" s="406"/>
      <c r="D569" s="406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294"/>
      <c r="P569" s="406"/>
      <c r="Q569" s="406"/>
      <c r="R569" s="406"/>
      <c r="S569" s="406"/>
      <c r="T569" s="294"/>
      <c r="U569" s="406"/>
      <c r="V569" s="406"/>
      <c r="W569" s="406"/>
      <c r="X569" s="406"/>
      <c r="Y569" s="294"/>
      <c r="Z569" s="406"/>
      <c r="AA569" s="406"/>
      <c r="AB569" s="406"/>
      <c r="AC569" s="406"/>
      <c r="AD569" s="294"/>
      <c r="AE569" s="406"/>
      <c r="AF569" s="406"/>
      <c r="AG569" s="406"/>
      <c r="AH569" s="406"/>
      <c r="AI569" s="294"/>
      <c r="AJ569" s="406"/>
      <c r="AK569" s="406"/>
      <c r="AL569" s="406"/>
      <c r="AM569" s="406"/>
      <c r="AN569" s="294"/>
      <c r="AO569" s="406"/>
      <c r="AP569" s="406"/>
      <c r="AQ569" s="406"/>
      <c r="AR569" s="406"/>
    </row>
    <row r="570">
      <c r="A570" s="294"/>
      <c r="B570" s="294"/>
      <c r="C570" s="406"/>
      <c r="D570" s="406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294"/>
      <c r="P570" s="406"/>
      <c r="Q570" s="406"/>
      <c r="R570" s="406"/>
      <c r="S570" s="406"/>
      <c r="T570" s="294"/>
      <c r="U570" s="406"/>
      <c r="V570" s="406"/>
      <c r="W570" s="406"/>
      <c r="X570" s="406"/>
      <c r="Y570" s="294"/>
      <c r="Z570" s="406"/>
      <c r="AA570" s="406"/>
      <c r="AB570" s="406"/>
      <c r="AC570" s="406"/>
      <c r="AD570" s="294"/>
      <c r="AE570" s="406"/>
      <c r="AF570" s="406"/>
      <c r="AG570" s="406"/>
      <c r="AH570" s="406"/>
      <c r="AI570" s="294"/>
      <c r="AJ570" s="406"/>
      <c r="AK570" s="406"/>
      <c r="AL570" s="406"/>
      <c r="AM570" s="406"/>
      <c r="AN570" s="294"/>
      <c r="AO570" s="406"/>
      <c r="AP570" s="406"/>
      <c r="AQ570" s="406"/>
      <c r="AR570" s="406"/>
    </row>
    <row r="571">
      <c r="A571" s="294"/>
      <c r="B571" s="294"/>
      <c r="C571" s="406"/>
      <c r="D571" s="406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294"/>
      <c r="P571" s="406"/>
      <c r="Q571" s="406"/>
      <c r="R571" s="406"/>
      <c r="S571" s="406"/>
      <c r="T571" s="294"/>
      <c r="U571" s="406"/>
      <c r="V571" s="406"/>
      <c r="W571" s="406"/>
      <c r="X571" s="406"/>
      <c r="Y571" s="294"/>
      <c r="Z571" s="406"/>
      <c r="AA571" s="406"/>
      <c r="AB571" s="406"/>
      <c r="AC571" s="406"/>
      <c r="AD571" s="294"/>
      <c r="AE571" s="406"/>
      <c r="AF571" s="406"/>
      <c r="AG571" s="406"/>
      <c r="AH571" s="406"/>
      <c r="AI571" s="294"/>
      <c r="AJ571" s="406"/>
      <c r="AK571" s="406"/>
      <c r="AL571" s="406"/>
      <c r="AM571" s="406"/>
      <c r="AN571" s="294"/>
      <c r="AO571" s="406"/>
      <c r="AP571" s="406"/>
      <c r="AQ571" s="406"/>
      <c r="AR571" s="406"/>
    </row>
    <row r="572">
      <c r="A572" s="294"/>
      <c r="B572" s="294"/>
      <c r="C572" s="406"/>
      <c r="D572" s="406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294"/>
      <c r="P572" s="406"/>
      <c r="Q572" s="406"/>
      <c r="R572" s="406"/>
      <c r="S572" s="406"/>
      <c r="T572" s="294"/>
      <c r="U572" s="406"/>
      <c r="V572" s="406"/>
      <c r="W572" s="406"/>
      <c r="X572" s="406"/>
      <c r="Y572" s="294"/>
      <c r="Z572" s="406"/>
      <c r="AA572" s="406"/>
      <c r="AB572" s="406"/>
      <c r="AC572" s="406"/>
      <c r="AD572" s="294"/>
      <c r="AE572" s="406"/>
      <c r="AF572" s="406"/>
      <c r="AG572" s="406"/>
      <c r="AH572" s="406"/>
      <c r="AI572" s="294"/>
      <c r="AJ572" s="406"/>
      <c r="AK572" s="406"/>
      <c r="AL572" s="406"/>
      <c r="AM572" s="406"/>
      <c r="AN572" s="294"/>
      <c r="AO572" s="406"/>
      <c r="AP572" s="406"/>
      <c r="AQ572" s="406"/>
      <c r="AR572" s="406"/>
    </row>
    <row r="573">
      <c r="A573" s="294"/>
      <c r="B573" s="294"/>
      <c r="C573" s="406"/>
      <c r="D573" s="406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294"/>
      <c r="P573" s="406"/>
      <c r="Q573" s="406"/>
      <c r="R573" s="406"/>
      <c r="S573" s="406"/>
      <c r="T573" s="294"/>
      <c r="U573" s="406"/>
      <c r="V573" s="406"/>
      <c r="W573" s="406"/>
      <c r="X573" s="406"/>
      <c r="Y573" s="294"/>
      <c r="Z573" s="406"/>
      <c r="AA573" s="406"/>
      <c r="AB573" s="406"/>
      <c r="AC573" s="406"/>
      <c r="AD573" s="294"/>
      <c r="AE573" s="406"/>
      <c r="AF573" s="406"/>
      <c r="AG573" s="406"/>
      <c r="AH573" s="406"/>
      <c r="AI573" s="294"/>
      <c r="AJ573" s="406"/>
      <c r="AK573" s="406"/>
      <c r="AL573" s="406"/>
      <c r="AM573" s="406"/>
      <c r="AN573" s="294"/>
      <c r="AO573" s="406"/>
      <c r="AP573" s="406"/>
      <c r="AQ573" s="406"/>
      <c r="AR573" s="406"/>
    </row>
    <row r="574">
      <c r="A574" s="294"/>
      <c r="B574" s="294"/>
      <c r="C574" s="406"/>
      <c r="D574" s="406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294"/>
      <c r="P574" s="406"/>
      <c r="Q574" s="406"/>
      <c r="R574" s="406"/>
      <c r="S574" s="406"/>
      <c r="T574" s="294"/>
      <c r="U574" s="406"/>
      <c r="V574" s="406"/>
      <c r="W574" s="406"/>
      <c r="X574" s="406"/>
      <c r="Y574" s="294"/>
      <c r="Z574" s="406"/>
      <c r="AA574" s="406"/>
      <c r="AB574" s="406"/>
      <c r="AC574" s="406"/>
      <c r="AD574" s="294"/>
      <c r="AE574" s="406"/>
      <c r="AF574" s="406"/>
      <c r="AG574" s="406"/>
      <c r="AH574" s="406"/>
      <c r="AI574" s="294"/>
      <c r="AJ574" s="406"/>
      <c r="AK574" s="406"/>
      <c r="AL574" s="406"/>
      <c r="AM574" s="406"/>
      <c r="AN574" s="294"/>
      <c r="AO574" s="406"/>
      <c r="AP574" s="406"/>
      <c r="AQ574" s="406"/>
      <c r="AR574" s="406"/>
    </row>
    <row r="575">
      <c r="A575" s="294"/>
      <c r="B575" s="294"/>
      <c r="C575" s="406"/>
      <c r="D575" s="406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294"/>
      <c r="P575" s="406"/>
      <c r="Q575" s="406"/>
      <c r="R575" s="406"/>
      <c r="S575" s="406"/>
      <c r="T575" s="294"/>
      <c r="U575" s="406"/>
      <c r="V575" s="406"/>
      <c r="W575" s="406"/>
      <c r="X575" s="406"/>
      <c r="Y575" s="294"/>
      <c r="Z575" s="406"/>
      <c r="AA575" s="406"/>
      <c r="AB575" s="406"/>
      <c r="AC575" s="406"/>
      <c r="AD575" s="294"/>
      <c r="AE575" s="406"/>
      <c r="AF575" s="406"/>
      <c r="AG575" s="406"/>
      <c r="AH575" s="406"/>
      <c r="AI575" s="294"/>
      <c r="AJ575" s="406"/>
      <c r="AK575" s="406"/>
      <c r="AL575" s="406"/>
      <c r="AM575" s="406"/>
      <c r="AN575" s="294"/>
      <c r="AO575" s="406"/>
      <c r="AP575" s="406"/>
      <c r="AQ575" s="406"/>
      <c r="AR575" s="406"/>
    </row>
    <row r="576">
      <c r="A576" s="294"/>
      <c r="B576" s="294"/>
      <c r="C576" s="406"/>
      <c r="D576" s="406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294"/>
      <c r="P576" s="406"/>
      <c r="Q576" s="406"/>
      <c r="R576" s="406"/>
      <c r="S576" s="406"/>
      <c r="T576" s="294"/>
      <c r="U576" s="406"/>
      <c r="V576" s="406"/>
      <c r="W576" s="406"/>
      <c r="X576" s="406"/>
      <c r="Y576" s="294"/>
      <c r="Z576" s="406"/>
      <c r="AA576" s="406"/>
      <c r="AB576" s="406"/>
      <c r="AC576" s="406"/>
      <c r="AD576" s="294"/>
      <c r="AE576" s="406"/>
      <c r="AF576" s="406"/>
      <c r="AG576" s="406"/>
      <c r="AH576" s="406"/>
      <c r="AI576" s="294"/>
      <c r="AJ576" s="406"/>
      <c r="AK576" s="406"/>
      <c r="AL576" s="406"/>
      <c r="AM576" s="406"/>
      <c r="AN576" s="294"/>
      <c r="AO576" s="406"/>
      <c r="AP576" s="406"/>
      <c r="AQ576" s="406"/>
      <c r="AR576" s="406"/>
    </row>
    <row r="577">
      <c r="A577" s="294"/>
      <c r="B577" s="294"/>
      <c r="C577" s="406"/>
      <c r="D577" s="406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294"/>
      <c r="P577" s="406"/>
      <c r="Q577" s="406"/>
      <c r="R577" s="406"/>
      <c r="S577" s="406"/>
      <c r="T577" s="294"/>
      <c r="U577" s="406"/>
      <c r="V577" s="406"/>
      <c r="W577" s="406"/>
      <c r="X577" s="406"/>
      <c r="Y577" s="294"/>
      <c r="Z577" s="406"/>
      <c r="AA577" s="406"/>
      <c r="AB577" s="406"/>
      <c r="AC577" s="406"/>
      <c r="AD577" s="294"/>
      <c r="AE577" s="406"/>
      <c r="AF577" s="406"/>
      <c r="AG577" s="406"/>
      <c r="AH577" s="406"/>
      <c r="AI577" s="294"/>
      <c r="AJ577" s="406"/>
      <c r="AK577" s="406"/>
      <c r="AL577" s="406"/>
      <c r="AM577" s="406"/>
      <c r="AN577" s="294"/>
      <c r="AO577" s="406"/>
      <c r="AP577" s="406"/>
      <c r="AQ577" s="406"/>
      <c r="AR577" s="406"/>
    </row>
    <row r="578">
      <c r="A578" s="294"/>
      <c r="B578" s="294"/>
      <c r="C578" s="406"/>
      <c r="D578" s="406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294"/>
      <c r="P578" s="406"/>
      <c r="Q578" s="406"/>
      <c r="R578" s="406"/>
      <c r="S578" s="406"/>
      <c r="T578" s="294"/>
      <c r="U578" s="406"/>
      <c r="V578" s="406"/>
      <c r="W578" s="406"/>
      <c r="X578" s="406"/>
      <c r="Y578" s="294"/>
      <c r="Z578" s="406"/>
      <c r="AA578" s="406"/>
      <c r="AB578" s="406"/>
      <c r="AC578" s="406"/>
      <c r="AD578" s="294"/>
      <c r="AE578" s="406"/>
      <c r="AF578" s="406"/>
      <c r="AG578" s="406"/>
      <c r="AH578" s="406"/>
      <c r="AI578" s="294"/>
      <c r="AJ578" s="406"/>
      <c r="AK578" s="406"/>
      <c r="AL578" s="406"/>
      <c r="AM578" s="406"/>
      <c r="AN578" s="294"/>
      <c r="AO578" s="406"/>
      <c r="AP578" s="406"/>
      <c r="AQ578" s="406"/>
      <c r="AR578" s="406"/>
    </row>
    <row r="579">
      <c r="A579" s="294"/>
      <c r="B579" s="294"/>
      <c r="C579" s="406"/>
      <c r="D579" s="406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294"/>
      <c r="P579" s="406"/>
      <c r="Q579" s="406"/>
      <c r="R579" s="406"/>
      <c r="S579" s="406"/>
      <c r="T579" s="294"/>
      <c r="U579" s="406"/>
      <c r="V579" s="406"/>
      <c r="W579" s="406"/>
      <c r="X579" s="406"/>
      <c r="Y579" s="294"/>
      <c r="Z579" s="406"/>
      <c r="AA579" s="406"/>
      <c r="AB579" s="406"/>
      <c r="AC579" s="406"/>
      <c r="AD579" s="294"/>
      <c r="AE579" s="406"/>
      <c r="AF579" s="406"/>
      <c r="AG579" s="406"/>
      <c r="AH579" s="406"/>
      <c r="AI579" s="294"/>
      <c r="AJ579" s="406"/>
      <c r="AK579" s="406"/>
      <c r="AL579" s="406"/>
      <c r="AM579" s="406"/>
      <c r="AN579" s="294"/>
      <c r="AO579" s="406"/>
      <c r="AP579" s="406"/>
      <c r="AQ579" s="406"/>
      <c r="AR579" s="406"/>
    </row>
    <row r="580">
      <c r="A580" s="294"/>
      <c r="B580" s="294"/>
      <c r="C580" s="406"/>
      <c r="D580" s="406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294"/>
      <c r="P580" s="406"/>
      <c r="Q580" s="406"/>
      <c r="R580" s="406"/>
      <c r="S580" s="406"/>
      <c r="T580" s="294"/>
      <c r="U580" s="406"/>
      <c r="V580" s="406"/>
      <c r="W580" s="406"/>
      <c r="X580" s="406"/>
      <c r="Y580" s="294"/>
      <c r="Z580" s="406"/>
      <c r="AA580" s="406"/>
      <c r="AB580" s="406"/>
      <c r="AC580" s="406"/>
      <c r="AD580" s="294"/>
      <c r="AE580" s="406"/>
      <c r="AF580" s="406"/>
      <c r="AG580" s="406"/>
      <c r="AH580" s="406"/>
      <c r="AI580" s="294"/>
      <c r="AJ580" s="406"/>
      <c r="AK580" s="406"/>
      <c r="AL580" s="406"/>
      <c r="AM580" s="406"/>
      <c r="AN580" s="294"/>
      <c r="AO580" s="406"/>
      <c r="AP580" s="406"/>
      <c r="AQ580" s="406"/>
      <c r="AR580" s="406"/>
    </row>
    <row r="581">
      <c r="A581" s="294"/>
      <c r="B581" s="294"/>
      <c r="C581" s="406"/>
      <c r="D581" s="406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294"/>
      <c r="P581" s="406"/>
      <c r="Q581" s="406"/>
      <c r="R581" s="406"/>
      <c r="S581" s="406"/>
      <c r="T581" s="294"/>
      <c r="U581" s="406"/>
      <c r="V581" s="406"/>
      <c r="W581" s="406"/>
      <c r="X581" s="406"/>
      <c r="Y581" s="294"/>
      <c r="Z581" s="406"/>
      <c r="AA581" s="406"/>
      <c r="AB581" s="406"/>
      <c r="AC581" s="406"/>
      <c r="AD581" s="294"/>
      <c r="AE581" s="406"/>
      <c r="AF581" s="406"/>
      <c r="AG581" s="406"/>
      <c r="AH581" s="406"/>
      <c r="AI581" s="294"/>
      <c r="AJ581" s="406"/>
      <c r="AK581" s="406"/>
      <c r="AL581" s="406"/>
      <c r="AM581" s="406"/>
      <c r="AN581" s="294"/>
      <c r="AO581" s="406"/>
      <c r="AP581" s="406"/>
      <c r="AQ581" s="406"/>
      <c r="AR581" s="406"/>
    </row>
    <row r="582">
      <c r="A582" s="294"/>
      <c r="B582" s="294"/>
      <c r="C582" s="406"/>
      <c r="D582" s="406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294"/>
      <c r="P582" s="406"/>
      <c r="Q582" s="406"/>
      <c r="R582" s="406"/>
      <c r="S582" s="406"/>
      <c r="T582" s="294"/>
      <c r="U582" s="406"/>
      <c r="V582" s="406"/>
      <c r="W582" s="406"/>
      <c r="X582" s="406"/>
      <c r="Y582" s="294"/>
      <c r="Z582" s="406"/>
      <c r="AA582" s="406"/>
      <c r="AB582" s="406"/>
      <c r="AC582" s="406"/>
      <c r="AD582" s="294"/>
      <c r="AE582" s="406"/>
      <c r="AF582" s="406"/>
      <c r="AG582" s="406"/>
      <c r="AH582" s="406"/>
      <c r="AI582" s="294"/>
      <c r="AJ582" s="406"/>
      <c r="AK582" s="406"/>
      <c r="AL582" s="406"/>
      <c r="AM582" s="406"/>
      <c r="AN582" s="294"/>
      <c r="AO582" s="406"/>
      <c r="AP582" s="406"/>
      <c r="AQ582" s="406"/>
      <c r="AR582" s="406"/>
    </row>
    <row r="583">
      <c r="A583" s="294"/>
      <c r="B583" s="294"/>
      <c r="C583" s="406"/>
      <c r="D583" s="406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294"/>
      <c r="P583" s="406"/>
      <c r="Q583" s="406"/>
      <c r="R583" s="406"/>
      <c r="S583" s="406"/>
      <c r="T583" s="294"/>
      <c r="U583" s="406"/>
      <c r="V583" s="406"/>
      <c r="W583" s="406"/>
      <c r="X583" s="406"/>
      <c r="Y583" s="294"/>
      <c r="Z583" s="406"/>
      <c r="AA583" s="406"/>
      <c r="AB583" s="406"/>
      <c r="AC583" s="406"/>
      <c r="AD583" s="294"/>
      <c r="AE583" s="406"/>
      <c r="AF583" s="406"/>
      <c r="AG583" s="406"/>
      <c r="AH583" s="406"/>
      <c r="AI583" s="294"/>
      <c r="AJ583" s="406"/>
      <c r="AK583" s="406"/>
      <c r="AL583" s="406"/>
      <c r="AM583" s="406"/>
      <c r="AN583" s="294"/>
      <c r="AO583" s="406"/>
      <c r="AP583" s="406"/>
      <c r="AQ583" s="406"/>
      <c r="AR583" s="406"/>
    </row>
    <row r="584">
      <c r="A584" s="294"/>
      <c r="B584" s="294"/>
      <c r="C584" s="406"/>
      <c r="D584" s="406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294"/>
      <c r="P584" s="406"/>
      <c r="Q584" s="406"/>
      <c r="R584" s="406"/>
      <c r="S584" s="406"/>
      <c r="T584" s="294"/>
      <c r="U584" s="406"/>
      <c r="V584" s="406"/>
      <c r="W584" s="406"/>
      <c r="X584" s="406"/>
      <c r="Y584" s="294"/>
      <c r="Z584" s="406"/>
      <c r="AA584" s="406"/>
      <c r="AB584" s="406"/>
      <c r="AC584" s="406"/>
      <c r="AD584" s="294"/>
      <c r="AE584" s="406"/>
      <c r="AF584" s="406"/>
      <c r="AG584" s="406"/>
      <c r="AH584" s="406"/>
      <c r="AI584" s="294"/>
      <c r="AJ584" s="406"/>
      <c r="AK584" s="406"/>
      <c r="AL584" s="406"/>
      <c r="AM584" s="406"/>
      <c r="AN584" s="294"/>
      <c r="AO584" s="406"/>
      <c r="AP584" s="406"/>
      <c r="AQ584" s="406"/>
      <c r="AR584" s="406"/>
    </row>
    <row r="585">
      <c r="A585" s="294"/>
      <c r="B585" s="294"/>
      <c r="C585" s="406"/>
      <c r="D585" s="406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294"/>
      <c r="P585" s="406"/>
      <c r="Q585" s="406"/>
      <c r="R585" s="406"/>
      <c r="S585" s="406"/>
      <c r="T585" s="294"/>
      <c r="U585" s="406"/>
      <c r="V585" s="406"/>
      <c r="W585" s="406"/>
      <c r="X585" s="406"/>
      <c r="Y585" s="294"/>
      <c r="Z585" s="406"/>
      <c r="AA585" s="406"/>
      <c r="AB585" s="406"/>
      <c r="AC585" s="406"/>
      <c r="AD585" s="294"/>
      <c r="AE585" s="406"/>
      <c r="AF585" s="406"/>
      <c r="AG585" s="406"/>
      <c r="AH585" s="406"/>
      <c r="AI585" s="294"/>
      <c r="AJ585" s="406"/>
      <c r="AK585" s="406"/>
      <c r="AL585" s="406"/>
      <c r="AM585" s="406"/>
      <c r="AN585" s="294"/>
      <c r="AO585" s="406"/>
      <c r="AP585" s="406"/>
      <c r="AQ585" s="406"/>
      <c r="AR585" s="406"/>
    </row>
    <row r="586">
      <c r="A586" s="294"/>
      <c r="B586" s="294"/>
      <c r="C586" s="406"/>
      <c r="D586" s="406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294"/>
      <c r="P586" s="406"/>
      <c r="Q586" s="406"/>
      <c r="R586" s="406"/>
      <c r="S586" s="406"/>
      <c r="T586" s="294"/>
      <c r="U586" s="406"/>
      <c r="V586" s="406"/>
      <c r="W586" s="406"/>
      <c r="X586" s="406"/>
      <c r="Y586" s="294"/>
      <c r="Z586" s="406"/>
      <c r="AA586" s="406"/>
      <c r="AB586" s="406"/>
      <c r="AC586" s="406"/>
      <c r="AD586" s="294"/>
      <c r="AE586" s="406"/>
      <c r="AF586" s="406"/>
      <c r="AG586" s="406"/>
      <c r="AH586" s="406"/>
      <c r="AI586" s="294"/>
      <c r="AJ586" s="406"/>
      <c r="AK586" s="406"/>
      <c r="AL586" s="406"/>
      <c r="AM586" s="406"/>
      <c r="AN586" s="294"/>
      <c r="AO586" s="406"/>
      <c r="AP586" s="406"/>
      <c r="AQ586" s="406"/>
      <c r="AR586" s="406"/>
    </row>
    <row r="587">
      <c r="A587" s="294"/>
      <c r="B587" s="294"/>
      <c r="C587" s="406"/>
      <c r="D587" s="406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294"/>
      <c r="P587" s="406"/>
      <c r="Q587" s="406"/>
      <c r="R587" s="406"/>
      <c r="S587" s="406"/>
      <c r="T587" s="294"/>
      <c r="U587" s="406"/>
      <c r="V587" s="406"/>
      <c r="W587" s="406"/>
      <c r="X587" s="406"/>
      <c r="Y587" s="294"/>
      <c r="Z587" s="406"/>
      <c r="AA587" s="406"/>
      <c r="AB587" s="406"/>
      <c r="AC587" s="406"/>
      <c r="AD587" s="294"/>
      <c r="AE587" s="406"/>
      <c r="AF587" s="406"/>
      <c r="AG587" s="406"/>
      <c r="AH587" s="406"/>
      <c r="AI587" s="294"/>
      <c r="AJ587" s="406"/>
      <c r="AK587" s="406"/>
      <c r="AL587" s="406"/>
      <c r="AM587" s="406"/>
      <c r="AN587" s="294"/>
      <c r="AO587" s="406"/>
      <c r="AP587" s="406"/>
      <c r="AQ587" s="406"/>
      <c r="AR587" s="406"/>
    </row>
    <row r="588">
      <c r="A588" s="294"/>
      <c r="B588" s="294"/>
      <c r="C588" s="406"/>
      <c r="D588" s="406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294"/>
      <c r="P588" s="406"/>
      <c r="Q588" s="406"/>
      <c r="R588" s="406"/>
      <c r="S588" s="406"/>
      <c r="T588" s="294"/>
      <c r="U588" s="406"/>
      <c r="V588" s="406"/>
      <c r="W588" s="406"/>
      <c r="X588" s="406"/>
      <c r="Y588" s="294"/>
      <c r="Z588" s="406"/>
      <c r="AA588" s="406"/>
      <c r="AB588" s="406"/>
      <c r="AC588" s="406"/>
      <c r="AD588" s="294"/>
      <c r="AE588" s="406"/>
      <c r="AF588" s="406"/>
      <c r="AG588" s="406"/>
      <c r="AH588" s="406"/>
      <c r="AI588" s="294"/>
      <c r="AJ588" s="406"/>
      <c r="AK588" s="406"/>
      <c r="AL588" s="406"/>
      <c r="AM588" s="406"/>
      <c r="AN588" s="294"/>
      <c r="AO588" s="406"/>
      <c r="AP588" s="406"/>
      <c r="AQ588" s="406"/>
      <c r="AR588" s="406"/>
    </row>
    <row r="589">
      <c r="A589" s="294"/>
      <c r="B589" s="294"/>
      <c r="C589" s="406"/>
      <c r="D589" s="406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294"/>
      <c r="P589" s="406"/>
      <c r="Q589" s="406"/>
      <c r="R589" s="406"/>
      <c r="S589" s="406"/>
      <c r="T589" s="294"/>
      <c r="U589" s="406"/>
      <c r="V589" s="406"/>
      <c r="W589" s="406"/>
      <c r="X589" s="406"/>
      <c r="Y589" s="294"/>
      <c r="Z589" s="406"/>
      <c r="AA589" s="406"/>
      <c r="AB589" s="406"/>
      <c r="AC589" s="406"/>
      <c r="AD589" s="294"/>
      <c r="AE589" s="406"/>
      <c r="AF589" s="406"/>
      <c r="AG589" s="406"/>
      <c r="AH589" s="406"/>
      <c r="AI589" s="294"/>
      <c r="AJ589" s="406"/>
      <c r="AK589" s="406"/>
      <c r="AL589" s="406"/>
      <c r="AM589" s="406"/>
      <c r="AN589" s="294"/>
      <c r="AO589" s="406"/>
      <c r="AP589" s="406"/>
      <c r="AQ589" s="406"/>
      <c r="AR589" s="406"/>
    </row>
    <row r="590">
      <c r="A590" s="294"/>
      <c r="B590" s="294"/>
      <c r="C590" s="406"/>
      <c r="D590" s="406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294"/>
      <c r="P590" s="406"/>
      <c r="Q590" s="406"/>
      <c r="R590" s="406"/>
      <c r="S590" s="406"/>
      <c r="T590" s="294"/>
      <c r="U590" s="406"/>
      <c r="V590" s="406"/>
      <c r="W590" s="406"/>
      <c r="X590" s="406"/>
      <c r="Y590" s="294"/>
      <c r="Z590" s="406"/>
      <c r="AA590" s="406"/>
      <c r="AB590" s="406"/>
      <c r="AC590" s="406"/>
      <c r="AD590" s="294"/>
      <c r="AE590" s="406"/>
      <c r="AF590" s="406"/>
      <c r="AG590" s="406"/>
      <c r="AH590" s="406"/>
      <c r="AI590" s="294"/>
      <c r="AJ590" s="406"/>
      <c r="AK590" s="406"/>
      <c r="AL590" s="406"/>
      <c r="AM590" s="406"/>
      <c r="AN590" s="294"/>
      <c r="AO590" s="406"/>
      <c r="AP590" s="406"/>
      <c r="AQ590" s="406"/>
      <c r="AR590" s="406"/>
    </row>
    <row r="591">
      <c r="A591" s="294"/>
      <c r="B591" s="294"/>
      <c r="C591" s="406"/>
      <c r="D591" s="406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294"/>
      <c r="P591" s="406"/>
      <c r="Q591" s="406"/>
      <c r="R591" s="406"/>
      <c r="S591" s="406"/>
      <c r="T591" s="294"/>
      <c r="U591" s="406"/>
      <c r="V591" s="406"/>
      <c r="W591" s="406"/>
      <c r="X591" s="406"/>
      <c r="Y591" s="294"/>
      <c r="Z591" s="406"/>
      <c r="AA591" s="406"/>
      <c r="AB591" s="406"/>
      <c r="AC591" s="406"/>
      <c r="AD591" s="294"/>
      <c r="AE591" s="406"/>
      <c r="AF591" s="406"/>
      <c r="AG591" s="406"/>
      <c r="AH591" s="406"/>
      <c r="AI591" s="294"/>
      <c r="AJ591" s="406"/>
      <c r="AK591" s="406"/>
      <c r="AL591" s="406"/>
      <c r="AM591" s="406"/>
      <c r="AN591" s="294"/>
      <c r="AO591" s="406"/>
      <c r="AP591" s="406"/>
      <c r="AQ591" s="406"/>
      <c r="AR591" s="406"/>
    </row>
    <row r="592">
      <c r="A592" s="294"/>
      <c r="B592" s="294"/>
      <c r="C592" s="406"/>
      <c r="D592" s="406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294"/>
      <c r="P592" s="406"/>
      <c r="Q592" s="406"/>
      <c r="R592" s="406"/>
      <c r="S592" s="406"/>
      <c r="T592" s="294"/>
      <c r="U592" s="406"/>
      <c r="V592" s="406"/>
      <c r="W592" s="406"/>
      <c r="X592" s="406"/>
      <c r="Y592" s="294"/>
      <c r="Z592" s="406"/>
      <c r="AA592" s="406"/>
      <c r="AB592" s="406"/>
      <c r="AC592" s="406"/>
      <c r="AD592" s="294"/>
      <c r="AE592" s="406"/>
      <c r="AF592" s="406"/>
      <c r="AG592" s="406"/>
      <c r="AH592" s="406"/>
      <c r="AI592" s="294"/>
      <c r="AJ592" s="406"/>
      <c r="AK592" s="406"/>
      <c r="AL592" s="406"/>
      <c r="AM592" s="406"/>
      <c r="AN592" s="294"/>
      <c r="AO592" s="406"/>
      <c r="AP592" s="406"/>
      <c r="AQ592" s="406"/>
      <c r="AR592" s="406"/>
    </row>
    <row r="593">
      <c r="A593" s="294"/>
      <c r="B593" s="294"/>
      <c r="C593" s="406"/>
      <c r="D593" s="406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294"/>
      <c r="P593" s="406"/>
      <c r="Q593" s="406"/>
      <c r="R593" s="406"/>
      <c r="S593" s="406"/>
      <c r="T593" s="294"/>
      <c r="U593" s="406"/>
      <c r="V593" s="406"/>
      <c r="W593" s="406"/>
      <c r="X593" s="406"/>
      <c r="Y593" s="294"/>
      <c r="Z593" s="406"/>
      <c r="AA593" s="406"/>
      <c r="AB593" s="406"/>
      <c r="AC593" s="406"/>
      <c r="AD593" s="294"/>
      <c r="AE593" s="406"/>
      <c r="AF593" s="406"/>
      <c r="AG593" s="406"/>
      <c r="AH593" s="406"/>
      <c r="AI593" s="294"/>
      <c r="AJ593" s="406"/>
      <c r="AK593" s="406"/>
      <c r="AL593" s="406"/>
      <c r="AM593" s="406"/>
      <c r="AN593" s="294"/>
      <c r="AO593" s="406"/>
      <c r="AP593" s="406"/>
      <c r="AQ593" s="406"/>
      <c r="AR593" s="406"/>
    </row>
    <row r="594">
      <c r="A594" s="294"/>
      <c r="B594" s="294"/>
      <c r="C594" s="406"/>
      <c r="D594" s="406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294"/>
      <c r="P594" s="406"/>
      <c r="Q594" s="406"/>
      <c r="R594" s="406"/>
      <c r="S594" s="406"/>
      <c r="T594" s="294"/>
      <c r="U594" s="406"/>
      <c r="V594" s="406"/>
      <c r="W594" s="406"/>
      <c r="X594" s="406"/>
      <c r="Y594" s="294"/>
      <c r="Z594" s="406"/>
      <c r="AA594" s="406"/>
      <c r="AB594" s="406"/>
      <c r="AC594" s="406"/>
      <c r="AD594" s="294"/>
      <c r="AE594" s="406"/>
      <c r="AF594" s="406"/>
      <c r="AG594" s="406"/>
      <c r="AH594" s="406"/>
      <c r="AI594" s="294"/>
      <c r="AJ594" s="406"/>
      <c r="AK594" s="406"/>
      <c r="AL594" s="406"/>
      <c r="AM594" s="406"/>
      <c r="AN594" s="294"/>
      <c r="AO594" s="406"/>
      <c r="AP594" s="406"/>
      <c r="AQ594" s="406"/>
      <c r="AR594" s="406"/>
    </row>
    <row r="595">
      <c r="A595" s="294"/>
      <c r="B595" s="294"/>
      <c r="C595" s="406"/>
      <c r="D595" s="406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294"/>
      <c r="P595" s="406"/>
      <c r="Q595" s="406"/>
      <c r="R595" s="406"/>
      <c r="S595" s="406"/>
      <c r="T595" s="294"/>
      <c r="U595" s="406"/>
      <c r="V595" s="406"/>
      <c r="W595" s="406"/>
      <c r="X595" s="406"/>
      <c r="Y595" s="294"/>
      <c r="Z595" s="406"/>
      <c r="AA595" s="406"/>
      <c r="AB595" s="406"/>
      <c r="AC595" s="406"/>
      <c r="AD595" s="294"/>
      <c r="AE595" s="406"/>
      <c r="AF595" s="406"/>
      <c r="AG595" s="406"/>
      <c r="AH595" s="406"/>
      <c r="AI595" s="294"/>
      <c r="AJ595" s="406"/>
      <c r="AK595" s="406"/>
      <c r="AL595" s="406"/>
      <c r="AM595" s="406"/>
      <c r="AN595" s="294"/>
      <c r="AO595" s="406"/>
      <c r="AP595" s="406"/>
      <c r="AQ595" s="406"/>
      <c r="AR595" s="406"/>
    </row>
    <row r="596">
      <c r="A596" s="294"/>
      <c r="B596" s="294"/>
      <c r="C596" s="406"/>
      <c r="D596" s="406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294"/>
      <c r="P596" s="406"/>
      <c r="Q596" s="406"/>
      <c r="R596" s="406"/>
      <c r="S596" s="406"/>
      <c r="T596" s="294"/>
      <c r="U596" s="406"/>
      <c r="V596" s="406"/>
      <c r="W596" s="406"/>
      <c r="X596" s="406"/>
      <c r="Y596" s="294"/>
      <c r="Z596" s="406"/>
      <c r="AA596" s="406"/>
      <c r="AB596" s="406"/>
      <c r="AC596" s="406"/>
      <c r="AD596" s="294"/>
      <c r="AE596" s="406"/>
      <c r="AF596" s="406"/>
      <c r="AG596" s="406"/>
      <c r="AH596" s="406"/>
      <c r="AI596" s="294"/>
      <c r="AJ596" s="406"/>
      <c r="AK596" s="406"/>
      <c r="AL596" s="406"/>
      <c r="AM596" s="406"/>
      <c r="AN596" s="294"/>
      <c r="AO596" s="406"/>
      <c r="AP596" s="406"/>
      <c r="AQ596" s="406"/>
      <c r="AR596" s="406"/>
    </row>
    <row r="597">
      <c r="A597" s="294"/>
      <c r="B597" s="294"/>
      <c r="C597" s="406"/>
      <c r="D597" s="406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294"/>
      <c r="P597" s="406"/>
      <c r="Q597" s="406"/>
      <c r="R597" s="406"/>
      <c r="S597" s="406"/>
      <c r="T597" s="294"/>
      <c r="U597" s="406"/>
      <c r="V597" s="406"/>
      <c r="W597" s="406"/>
      <c r="X597" s="406"/>
      <c r="Y597" s="294"/>
      <c r="Z597" s="406"/>
      <c r="AA597" s="406"/>
      <c r="AB597" s="406"/>
      <c r="AC597" s="406"/>
      <c r="AD597" s="294"/>
      <c r="AE597" s="406"/>
      <c r="AF597" s="406"/>
      <c r="AG597" s="406"/>
      <c r="AH597" s="406"/>
      <c r="AI597" s="294"/>
      <c r="AJ597" s="406"/>
      <c r="AK597" s="406"/>
      <c r="AL597" s="406"/>
      <c r="AM597" s="406"/>
      <c r="AN597" s="294"/>
      <c r="AO597" s="406"/>
      <c r="AP597" s="406"/>
      <c r="AQ597" s="406"/>
      <c r="AR597" s="406"/>
    </row>
    <row r="598">
      <c r="A598" s="294"/>
      <c r="B598" s="294"/>
      <c r="C598" s="406"/>
      <c r="D598" s="406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294"/>
      <c r="P598" s="406"/>
      <c r="Q598" s="406"/>
      <c r="R598" s="406"/>
      <c r="S598" s="406"/>
      <c r="T598" s="294"/>
      <c r="U598" s="406"/>
      <c r="V598" s="406"/>
      <c r="W598" s="406"/>
      <c r="X598" s="406"/>
      <c r="Y598" s="294"/>
      <c r="Z598" s="406"/>
      <c r="AA598" s="406"/>
      <c r="AB598" s="406"/>
      <c r="AC598" s="406"/>
      <c r="AD598" s="294"/>
      <c r="AE598" s="406"/>
      <c r="AF598" s="406"/>
      <c r="AG598" s="406"/>
      <c r="AH598" s="406"/>
      <c r="AI598" s="294"/>
      <c r="AJ598" s="406"/>
      <c r="AK598" s="406"/>
      <c r="AL598" s="406"/>
      <c r="AM598" s="406"/>
      <c r="AN598" s="294"/>
      <c r="AO598" s="406"/>
      <c r="AP598" s="406"/>
      <c r="AQ598" s="406"/>
      <c r="AR598" s="406"/>
    </row>
    <row r="599">
      <c r="A599" s="294"/>
      <c r="B599" s="294"/>
      <c r="C599" s="406"/>
      <c r="D599" s="406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294"/>
      <c r="P599" s="406"/>
      <c r="Q599" s="406"/>
      <c r="R599" s="406"/>
      <c r="S599" s="406"/>
      <c r="T599" s="294"/>
      <c r="U599" s="406"/>
      <c r="V599" s="406"/>
      <c r="W599" s="406"/>
      <c r="X599" s="406"/>
      <c r="Y599" s="294"/>
      <c r="Z599" s="406"/>
      <c r="AA599" s="406"/>
      <c r="AB599" s="406"/>
      <c r="AC599" s="406"/>
      <c r="AD599" s="294"/>
      <c r="AE599" s="406"/>
      <c r="AF599" s="406"/>
      <c r="AG599" s="406"/>
      <c r="AH599" s="406"/>
      <c r="AI599" s="294"/>
      <c r="AJ599" s="406"/>
      <c r="AK599" s="406"/>
      <c r="AL599" s="406"/>
      <c r="AM599" s="406"/>
      <c r="AN599" s="294"/>
      <c r="AO599" s="406"/>
      <c r="AP599" s="406"/>
      <c r="AQ599" s="406"/>
      <c r="AR599" s="406"/>
    </row>
    <row r="600">
      <c r="A600" s="294"/>
      <c r="B600" s="294"/>
      <c r="C600" s="406"/>
      <c r="D600" s="406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294"/>
      <c r="P600" s="406"/>
      <c r="Q600" s="406"/>
      <c r="R600" s="406"/>
      <c r="S600" s="406"/>
      <c r="T600" s="294"/>
      <c r="U600" s="406"/>
      <c r="V600" s="406"/>
      <c r="W600" s="406"/>
      <c r="X600" s="406"/>
      <c r="Y600" s="294"/>
      <c r="Z600" s="406"/>
      <c r="AA600" s="406"/>
      <c r="AB600" s="406"/>
      <c r="AC600" s="406"/>
      <c r="AD600" s="294"/>
      <c r="AE600" s="406"/>
      <c r="AF600" s="406"/>
      <c r="AG600" s="406"/>
      <c r="AH600" s="406"/>
      <c r="AI600" s="294"/>
      <c r="AJ600" s="406"/>
      <c r="AK600" s="406"/>
      <c r="AL600" s="406"/>
      <c r="AM600" s="406"/>
      <c r="AN600" s="294"/>
      <c r="AO600" s="406"/>
      <c r="AP600" s="406"/>
      <c r="AQ600" s="406"/>
      <c r="AR600" s="406"/>
    </row>
    <row r="601">
      <c r="A601" s="294"/>
      <c r="B601" s="294"/>
      <c r="C601" s="406"/>
      <c r="D601" s="406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294"/>
      <c r="P601" s="406"/>
      <c r="Q601" s="406"/>
      <c r="R601" s="406"/>
      <c r="S601" s="406"/>
      <c r="T601" s="294"/>
      <c r="U601" s="406"/>
      <c r="V601" s="406"/>
      <c r="W601" s="406"/>
      <c r="X601" s="406"/>
      <c r="Y601" s="294"/>
      <c r="Z601" s="406"/>
      <c r="AA601" s="406"/>
      <c r="AB601" s="406"/>
      <c r="AC601" s="406"/>
      <c r="AD601" s="294"/>
      <c r="AE601" s="406"/>
      <c r="AF601" s="406"/>
      <c r="AG601" s="406"/>
      <c r="AH601" s="406"/>
      <c r="AI601" s="294"/>
      <c r="AJ601" s="406"/>
      <c r="AK601" s="406"/>
      <c r="AL601" s="406"/>
      <c r="AM601" s="406"/>
      <c r="AN601" s="294"/>
      <c r="AO601" s="406"/>
      <c r="AP601" s="406"/>
      <c r="AQ601" s="406"/>
      <c r="AR601" s="406"/>
    </row>
    <row r="602">
      <c r="A602" s="294"/>
      <c r="B602" s="294"/>
      <c r="C602" s="406"/>
      <c r="D602" s="406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294"/>
      <c r="P602" s="406"/>
      <c r="Q602" s="406"/>
      <c r="R602" s="406"/>
      <c r="S602" s="406"/>
      <c r="T602" s="294"/>
      <c r="U602" s="406"/>
      <c r="V602" s="406"/>
      <c r="W602" s="406"/>
      <c r="X602" s="406"/>
      <c r="Y602" s="294"/>
      <c r="Z602" s="406"/>
      <c r="AA602" s="406"/>
      <c r="AB602" s="406"/>
      <c r="AC602" s="406"/>
      <c r="AD602" s="294"/>
      <c r="AE602" s="406"/>
      <c r="AF602" s="406"/>
      <c r="AG602" s="406"/>
      <c r="AH602" s="406"/>
      <c r="AI602" s="294"/>
      <c r="AJ602" s="406"/>
      <c r="AK602" s="406"/>
      <c r="AL602" s="406"/>
      <c r="AM602" s="406"/>
      <c r="AN602" s="294"/>
      <c r="AO602" s="406"/>
      <c r="AP602" s="406"/>
      <c r="AQ602" s="406"/>
      <c r="AR602" s="406"/>
    </row>
    <row r="603">
      <c r="A603" s="294"/>
      <c r="B603" s="294"/>
      <c r="C603" s="406"/>
      <c r="D603" s="406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294"/>
      <c r="P603" s="406"/>
      <c r="Q603" s="406"/>
      <c r="R603" s="406"/>
      <c r="S603" s="406"/>
      <c r="T603" s="294"/>
      <c r="U603" s="406"/>
      <c r="V603" s="406"/>
      <c r="W603" s="406"/>
      <c r="X603" s="406"/>
      <c r="Y603" s="294"/>
      <c r="Z603" s="406"/>
      <c r="AA603" s="406"/>
      <c r="AB603" s="406"/>
      <c r="AC603" s="406"/>
      <c r="AD603" s="294"/>
      <c r="AE603" s="406"/>
      <c r="AF603" s="406"/>
      <c r="AG603" s="406"/>
      <c r="AH603" s="406"/>
      <c r="AI603" s="294"/>
      <c r="AJ603" s="406"/>
      <c r="AK603" s="406"/>
      <c r="AL603" s="406"/>
      <c r="AM603" s="406"/>
      <c r="AN603" s="294"/>
      <c r="AO603" s="406"/>
      <c r="AP603" s="406"/>
      <c r="AQ603" s="406"/>
      <c r="AR603" s="406"/>
    </row>
    <row r="604">
      <c r="A604" s="294"/>
      <c r="B604" s="294"/>
      <c r="C604" s="406"/>
      <c r="D604" s="406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294"/>
      <c r="P604" s="406"/>
      <c r="Q604" s="406"/>
      <c r="R604" s="406"/>
      <c r="S604" s="406"/>
      <c r="T604" s="294"/>
      <c r="U604" s="406"/>
      <c r="V604" s="406"/>
      <c r="W604" s="406"/>
      <c r="X604" s="406"/>
      <c r="Y604" s="294"/>
      <c r="Z604" s="406"/>
      <c r="AA604" s="406"/>
      <c r="AB604" s="406"/>
      <c r="AC604" s="406"/>
      <c r="AD604" s="294"/>
      <c r="AE604" s="406"/>
      <c r="AF604" s="406"/>
      <c r="AG604" s="406"/>
      <c r="AH604" s="406"/>
      <c r="AI604" s="294"/>
      <c r="AJ604" s="406"/>
      <c r="AK604" s="406"/>
      <c r="AL604" s="406"/>
      <c r="AM604" s="406"/>
      <c r="AN604" s="294"/>
      <c r="AO604" s="406"/>
      <c r="AP604" s="406"/>
      <c r="AQ604" s="406"/>
      <c r="AR604" s="406"/>
    </row>
    <row r="605">
      <c r="A605" s="294"/>
      <c r="B605" s="294"/>
      <c r="C605" s="406"/>
      <c r="D605" s="406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294"/>
      <c r="P605" s="406"/>
      <c r="Q605" s="406"/>
      <c r="R605" s="406"/>
      <c r="S605" s="406"/>
      <c r="T605" s="294"/>
      <c r="U605" s="406"/>
      <c r="V605" s="406"/>
      <c r="W605" s="406"/>
      <c r="X605" s="406"/>
      <c r="Y605" s="294"/>
      <c r="Z605" s="406"/>
      <c r="AA605" s="406"/>
      <c r="AB605" s="406"/>
      <c r="AC605" s="406"/>
      <c r="AD605" s="294"/>
      <c r="AE605" s="406"/>
      <c r="AF605" s="406"/>
      <c r="AG605" s="406"/>
      <c r="AH605" s="406"/>
      <c r="AI605" s="294"/>
      <c r="AJ605" s="406"/>
      <c r="AK605" s="406"/>
      <c r="AL605" s="406"/>
      <c r="AM605" s="406"/>
      <c r="AN605" s="294"/>
      <c r="AO605" s="406"/>
      <c r="AP605" s="406"/>
      <c r="AQ605" s="406"/>
      <c r="AR605" s="406"/>
    </row>
    <row r="606">
      <c r="A606" s="294"/>
      <c r="B606" s="294"/>
      <c r="C606" s="406"/>
      <c r="D606" s="406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294"/>
      <c r="P606" s="406"/>
      <c r="Q606" s="406"/>
      <c r="R606" s="406"/>
      <c r="S606" s="406"/>
      <c r="T606" s="294"/>
      <c r="U606" s="406"/>
      <c r="V606" s="406"/>
      <c r="W606" s="406"/>
      <c r="X606" s="406"/>
      <c r="Y606" s="294"/>
      <c r="Z606" s="406"/>
      <c r="AA606" s="406"/>
      <c r="AB606" s="406"/>
      <c r="AC606" s="406"/>
      <c r="AD606" s="294"/>
      <c r="AE606" s="406"/>
      <c r="AF606" s="406"/>
      <c r="AG606" s="406"/>
      <c r="AH606" s="406"/>
      <c r="AI606" s="294"/>
      <c r="AJ606" s="406"/>
      <c r="AK606" s="406"/>
      <c r="AL606" s="406"/>
      <c r="AM606" s="406"/>
      <c r="AN606" s="294"/>
      <c r="AO606" s="406"/>
      <c r="AP606" s="406"/>
      <c r="AQ606" s="406"/>
      <c r="AR606" s="406"/>
    </row>
    <row r="607">
      <c r="A607" s="294"/>
      <c r="B607" s="294"/>
      <c r="C607" s="406"/>
      <c r="D607" s="406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294"/>
      <c r="P607" s="406"/>
      <c r="Q607" s="406"/>
      <c r="R607" s="406"/>
      <c r="S607" s="406"/>
      <c r="T607" s="294"/>
      <c r="U607" s="406"/>
      <c r="V607" s="406"/>
      <c r="W607" s="406"/>
      <c r="X607" s="406"/>
      <c r="Y607" s="294"/>
      <c r="Z607" s="406"/>
      <c r="AA607" s="406"/>
      <c r="AB607" s="406"/>
      <c r="AC607" s="406"/>
      <c r="AD607" s="294"/>
      <c r="AE607" s="406"/>
      <c r="AF607" s="406"/>
      <c r="AG607" s="406"/>
      <c r="AH607" s="406"/>
      <c r="AI607" s="294"/>
      <c r="AJ607" s="406"/>
      <c r="AK607" s="406"/>
      <c r="AL607" s="406"/>
      <c r="AM607" s="406"/>
      <c r="AN607" s="294"/>
      <c r="AO607" s="406"/>
      <c r="AP607" s="406"/>
      <c r="AQ607" s="406"/>
      <c r="AR607" s="406"/>
    </row>
    <row r="608">
      <c r="A608" s="294"/>
      <c r="B608" s="294"/>
      <c r="C608" s="406"/>
      <c r="D608" s="406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294"/>
      <c r="P608" s="406"/>
      <c r="Q608" s="406"/>
      <c r="R608" s="406"/>
      <c r="S608" s="406"/>
      <c r="T608" s="294"/>
      <c r="U608" s="406"/>
      <c r="V608" s="406"/>
      <c r="W608" s="406"/>
      <c r="X608" s="406"/>
      <c r="Y608" s="294"/>
      <c r="Z608" s="406"/>
      <c r="AA608" s="406"/>
      <c r="AB608" s="406"/>
      <c r="AC608" s="406"/>
      <c r="AD608" s="294"/>
      <c r="AE608" s="406"/>
      <c r="AF608" s="406"/>
      <c r="AG608" s="406"/>
      <c r="AH608" s="406"/>
      <c r="AI608" s="294"/>
      <c r="AJ608" s="406"/>
      <c r="AK608" s="406"/>
      <c r="AL608" s="406"/>
      <c r="AM608" s="406"/>
      <c r="AN608" s="294"/>
      <c r="AO608" s="406"/>
      <c r="AP608" s="406"/>
      <c r="AQ608" s="406"/>
      <c r="AR608" s="406"/>
    </row>
    <row r="609">
      <c r="A609" s="294"/>
      <c r="B609" s="294"/>
      <c r="C609" s="406"/>
      <c r="D609" s="406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294"/>
      <c r="P609" s="406"/>
      <c r="Q609" s="406"/>
      <c r="R609" s="406"/>
      <c r="S609" s="406"/>
      <c r="T609" s="294"/>
      <c r="U609" s="406"/>
      <c r="V609" s="406"/>
      <c r="W609" s="406"/>
      <c r="X609" s="406"/>
      <c r="Y609" s="294"/>
      <c r="Z609" s="406"/>
      <c r="AA609" s="406"/>
      <c r="AB609" s="406"/>
      <c r="AC609" s="406"/>
      <c r="AD609" s="294"/>
      <c r="AE609" s="406"/>
      <c r="AF609" s="406"/>
      <c r="AG609" s="406"/>
      <c r="AH609" s="406"/>
      <c r="AI609" s="294"/>
      <c r="AJ609" s="406"/>
      <c r="AK609" s="406"/>
      <c r="AL609" s="406"/>
      <c r="AM609" s="406"/>
      <c r="AN609" s="294"/>
      <c r="AO609" s="406"/>
      <c r="AP609" s="406"/>
      <c r="AQ609" s="406"/>
      <c r="AR609" s="406"/>
    </row>
    <row r="610">
      <c r="A610" s="294"/>
      <c r="B610" s="294"/>
      <c r="C610" s="406"/>
      <c r="D610" s="406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294"/>
      <c r="P610" s="406"/>
      <c r="Q610" s="406"/>
      <c r="R610" s="406"/>
      <c r="S610" s="406"/>
      <c r="T610" s="294"/>
      <c r="U610" s="406"/>
      <c r="V610" s="406"/>
      <c r="W610" s="406"/>
      <c r="X610" s="406"/>
      <c r="Y610" s="294"/>
      <c r="Z610" s="406"/>
      <c r="AA610" s="406"/>
      <c r="AB610" s="406"/>
      <c r="AC610" s="406"/>
      <c r="AD610" s="294"/>
      <c r="AE610" s="406"/>
      <c r="AF610" s="406"/>
      <c r="AG610" s="406"/>
      <c r="AH610" s="406"/>
      <c r="AI610" s="294"/>
      <c r="AJ610" s="406"/>
      <c r="AK610" s="406"/>
      <c r="AL610" s="406"/>
      <c r="AM610" s="406"/>
      <c r="AN610" s="294"/>
      <c r="AO610" s="406"/>
      <c r="AP610" s="406"/>
      <c r="AQ610" s="406"/>
      <c r="AR610" s="406"/>
    </row>
    <row r="611">
      <c r="A611" s="294"/>
      <c r="B611" s="294"/>
      <c r="C611" s="406"/>
      <c r="D611" s="406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294"/>
      <c r="P611" s="406"/>
      <c r="Q611" s="406"/>
      <c r="R611" s="406"/>
      <c r="S611" s="406"/>
      <c r="T611" s="294"/>
      <c r="U611" s="406"/>
      <c r="V611" s="406"/>
      <c r="W611" s="406"/>
      <c r="X611" s="406"/>
      <c r="Y611" s="294"/>
      <c r="Z611" s="406"/>
      <c r="AA611" s="406"/>
      <c r="AB611" s="406"/>
      <c r="AC611" s="406"/>
      <c r="AD611" s="294"/>
      <c r="AE611" s="406"/>
      <c r="AF611" s="406"/>
      <c r="AG611" s="406"/>
      <c r="AH611" s="406"/>
      <c r="AI611" s="294"/>
      <c r="AJ611" s="406"/>
      <c r="AK611" s="406"/>
      <c r="AL611" s="406"/>
      <c r="AM611" s="406"/>
      <c r="AN611" s="294"/>
      <c r="AO611" s="406"/>
      <c r="AP611" s="406"/>
      <c r="AQ611" s="406"/>
      <c r="AR611" s="406"/>
    </row>
    <row r="612">
      <c r="A612" s="294"/>
      <c r="B612" s="294"/>
      <c r="C612" s="406"/>
      <c r="D612" s="406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294"/>
      <c r="P612" s="406"/>
      <c r="Q612" s="406"/>
      <c r="R612" s="406"/>
      <c r="S612" s="406"/>
      <c r="T612" s="294"/>
      <c r="U612" s="406"/>
      <c r="V612" s="406"/>
      <c r="W612" s="406"/>
      <c r="X612" s="406"/>
      <c r="Y612" s="294"/>
      <c r="Z612" s="406"/>
      <c r="AA612" s="406"/>
      <c r="AB612" s="406"/>
      <c r="AC612" s="406"/>
      <c r="AD612" s="294"/>
      <c r="AE612" s="406"/>
      <c r="AF612" s="406"/>
      <c r="AG612" s="406"/>
      <c r="AH612" s="406"/>
      <c r="AI612" s="294"/>
      <c r="AJ612" s="406"/>
      <c r="AK612" s="406"/>
      <c r="AL612" s="406"/>
      <c r="AM612" s="406"/>
      <c r="AN612" s="294"/>
      <c r="AO612" s="406"/>
      <c r="AP612" s="406"/>
      <c r="AQ612" s="406"/>
      <c r="AR612" s="406"/>
    </row>
    <row r="613">
      <c r="A613" s="294"/>
      <c r="B613" s="294"/>
      <c r="C613" s="406"/>
      <c r="D613" s="406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294"/>
      <c r="P613" s="406"/>
      <c r="Q613" s="406"/>
      <c r="R613" s="406"/>
      <c r="S613" s="406"/>
      <c r="T613" s="294"/>
      <c r="U613" s="406"/>
      <c r="V613" s="406"/>
      <c r="W613" s="406"/>
      <c r="X613" s="406"/>
      <c r="Y613" s="294"/>
      <c r="Z613" s="406"/>
      <c r="AA613" s="406"/>
      <c r="AB613" s="406"/>
      <c r="AC613" s="406"/>
      <c r="AD613" s="294"/>
      <c r="AE613" s="406"/>
      <c r="AF613" s="406"/>
      <c r="AG613" s="406"/>
      <c r="AH613" s="406"/>
      <c r="AI613" s="294"/>
      <c r="AJ613" s="406"/>
      <c r="AK613" s="406"/>
      <c r="AL613" s="406"/>
      <c r="AM613" s="406"/>
      <c r="AN613" s="294"/>
      <c r="AO613" s="406"/>
      <c r="AP613" s="406"/>
      <c r="AQ613" s="406"/>
      <c r="AR613" s="406"/>
    </row>
    <row r="614">
      <c r="A614" s="294"/>
      <c r="B614" s="294"/>
      <c r="C614" s="406"/>
      <c r="D614" s="406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294"/>
      <c r="P614" s="406"/>
      <c r="Q614" s="406"/>
      <c r="R614" s="406"/>
      <c r="S614" s="406"/>
      <c r="T614" s="294"/>
      <c r="U614" s="406"/>
      <c r="V614" s="406"/>
      <c r="W614" s="406"/>
      <c r="X614" s="406"/>
      <c r="Y614" s="294"/>
      <c r="Z614" s="406"/>
      <c r="AA614" s="406"/>
      <c r="AB614" s="406"/>
      <c r="AC614" s="406"/>
      <c r="AD614" s="294"/>
      <c r="AE614" s="406"/>
      <c r="AF614" s="406"/>
      <c r="AG614" s="406"/>
      <c r="AH614" s="406"/>
      <c r="AI614" s="294"/>
      <c r="AJ614" s="406"/>
      <c r="AK614" s="406"/>
      <c r="AL614" s="406"/>
      <c r="AM614" s="406"/>
      <c r="AN614" s="294"/>
      <c r="AO614" s="406"/>
      <c r="AP614" s="406"/>
      <c r="AQ614" s="406"/>
      <c r="AR614" s="406"/>
    </row>
    <row r="615">
      <c r="A615" s="294"/>
      <c r="B615" s="294"/>
      <c r="C615" s="406"/>
      <c r="D615" s="406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294"/>
      <c r="P615" s="406"/>
      <c r="Q615" s="406"/>
      <c r="R615" s="406"/>
      <c r="S615" s="406"/>
      <c r="T615" s="294"/>
      <c r="U615" s="406"/>
      <c r="V615" s="406"/>
      <c r="W615" s="406"/>
      <c r="X615" s="406"/>
      <c r="Y615" s="294"/>
      <c r="Z615" s="406"/>
      <c r="AA615" s="406"/>
      <c r="AB615" s="406"/>
      <c r="AC615" s="406"/>
      <c r="AD615" s="294"/>
      <c r="AE615" s="406"/>
      <c r="AF615" s="406"/>
      <c r="AG615" s="406"/>
      <c r="AH615" s="406"/>
      <c r="AI615" s="294"/>
      <c r="AJ615" s="406"/>
      <c r="AK615" s="406"/>
      <c r="AL615" s="406"/>
      <c r="AM615" s="406"/>
      <c r="AN615" s="294"/>
      <c r="AO615" s="406"/>
      <c r="AP615" s="406"/>
      <c r="AQ615" s="406"/>
      <c r="AR615" s="406"/>
    </row>
    <row r="616">
      <c r="A616" s="294"/>
      <c r="B616" s="294"/>
      <c r="C616" s="406"/>
      <c r="D616" s="406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294"/>
      <c r="P616" s="406"/>
      <c r="Q616" s="406"/>
      <c r="R616" s="406"/>
      <c r="S616" s="406"/>
      <c r="T616" s="294"/>
      <c r="U616" s="406"/>
      <c r="V616" s="406"/>
      <c r="W616" s="406"/>
      <c r="X616" s="406"/>
      <c r="Y616" s="294"/>
      <c r="Z616" s="406"/>
      <c r="AA616" s="406"/>
      <c r="AB616" s="406"/>
      <c r="AC616" s="406"/>
      <c r="AD616" s="294"/>
      <c r="AE616" s="406"/>
      <c r="AF616" s="406"/>
      <c r="AG616" s="406"/>
      <c r="AH616" s="406"/>
      <c r="AI616" s="294"/>
      <c r="AJ616" s="406"/>
      <c r="AK616" s="406"/>
      <c r="AL616" s="406"/>
      <c r="AM616" s="406"/>
      <c r="AN616" s="294"/>
      <c r="AO616" s="406"/>
      <c r="AP616" s="406"/>
      <c r="AQ616" s="406"/>
      <c r="AR616" s="406"/>
    </row>
    <row r="617">
      <c r="A617" s="294"/>
      <c r="B617" s="294"/>
      <c r="C617" s="406"/>
      <c r="D617" s="406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294"/>
      <c r="P617" s="406"/>
      <c r="Q617" s="406"/>
      <c r="R617" s="406"/>
      <c r="S617" s="406"/>
      <c r="T617" s="294"/>
      <c r="U617" s="406"/>
      <c r="V617" s="406"/>
      <c r="W617" s="406"/>
      <c r="X617" s="406"/>
      <c r="Y617" s="294"/>
      <c r="Z617" s="406"/>
      <c r="AA617" s="406"/>
      <c r="AB617" s="406"/>
      <c r="AC617" s="406"/>
      <c r="AD617" s="294"/>
      <c r="AE617" s="406"/>
      <c r="AF617" s="406"/>
      <c r="AG617" s="406"/>
      <c r="AH617" s="406"/>
      <c r="AI617" s="294"/>
      <c r="AJ617" s="406"/>
      <c r="AK617" s="406"/>
      <c r="AL617" s="406"/>
      <c r="AM617" s="406"/>
      <c r="AN617" s="294"/>
      <c r="AO617" s="406"/>
      <c r="AP617" s="406"/>
      <c r="AQ617" s="406"/>
      <c r="AR617" s="406"/>
    </row>
    <row r="618">
      <c r="A618" s="294"/>
      <c r="B618" s="294"/>
      <c r="C618" s="406"/>
      <c r="D618" s="406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294"/>
      <c r="P618" s="406"/>
      <c r="Q618" s="406"/>
      <c r="R618" s="406"/>
      <c r="S618" s="406"/>
      <c r="T618" s="294"/>
      <c r="U618" s="406"/>
      <c r="V618" s="406"/>
      <c r="W618" s="406"/>
      <c r="X618" s="406"/>
      <c r="Y618" s="294"/>
      <c r="Z618" s="406"/>
      <c r="AA618" s="406"/>
      <c r="AB618" s="406"/>
      <c r="AC618" s="406"/>
      <c r="AD618" s="294"/>
      <c r="AE618" s="406"/>
      <c r="AF618" s="406"/>
      <c r="AG618" s="406"/>
      <c r="AH618" s="406"/>
      <c r="AI618" s="294"/>
      <c r="AJ618" s="406"/>
      <c r="AK618" s="406"/>
      <c r="AL618" s="406"/>
      <c r="AM618" s="406"/>
      <c r="AN618" s="294"/>
      <c r="AO618" s="406"/>
      <c r="AP618" s="406"/>
      <c r="AQ618" s="406"/>
      <c r="AR618" s="406"/>
    </row>
    <row r="619">
      <c r="A619" s="294"/>
      <c r="B619" s="294"/>
      <c r="C619" s="406"/>
      <c r="D619" s="406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294"/>
      <c r="P619" s="406"/>
      <c r="Q619" s="406"/>
      <c r="R619" s="406"/>
      <c r="S619" s="406"/>
      <c r="T619" s="294"/>
      <c r="U619" s="406"/>
      <c r="V619" s="406"/>
      <c r="W619" s="406"/>
      <c r="X619" s="406"/>
      <c r="Y619" s="294"/>
      <c r="Z619" s="406"/>
      <c r="AA619" s="406"/>
      <c r="AB619" s="406"/>
      <c r="AC619" s="406"/>
      <c r="AD619" s="294"/>
      <c r="AE619" s="406"/>
      <c r="AF619" s="406"/>
      <c r="AG619" s="406"/>
      <c r="AH619" s="406"/>
      <c r="AI619" s="294"/>
      <c r="AJ619" s="406"/>
      <c r="AK619" s="406"/>
      <c r="AL619" s="406"/>
      <c r="AM619" s="406"/>
      <c r="AN619" s="294"/>
      <c r="AO619" s="406"/>
      <c r="AP619" s="406"/>
      <c r="AQ619" s="406"/>
      <c r="AR619" s="406"/>
    </row>
    <row r="620">
      <c r="A620" s="294"/>
      <c r="B620" s="294"/>
      <c r="C620" s="406"/>
      <c r="D620" s="406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294"/>
      <c r="P620" s="406"/>
      <c r="Q620" s="406"/>
      <c r="R620" s="406"/>
      <c r="S620" s="406"/>
      <c r="T620" s="294"/>
      <c r="U620" s="406"/>
      <c r="V620" s="406"/>
      <c r="W620" s="406"/>
      <c r="X620" s="406"/>
      <c r="Y620" s="294"/>
      <c r="Z620" s="406"/>
      <c r="AA620" s="406"/>
      <c r="AB620" s="406"/>
      <c r="AC620" s="406"/>
      <c r="AD620" s="294"/>
      <c r="AE620" s="406"/>
      <c r="AF620" s="406"/>
      <c r="AG620" s="406"/>
      <c r="AH620" s="406"/>
      <c r="AI620" s="294"/>
      <c r="AJ620" s="406"/>
      <c r="AK620" s="406"/>
      <c r="AL620" s="406"/>
      <c r="AM620" s="406"/>
      <c r="AN620" s="294"/>
      <c r="AO620" s="406"/>
      <c r="AP620" s="406"/>
      <c r="AQ620" s="406"/>
      <c r="AR620" s="406"/>
    </row>
    <row r="621">
      <c r="A621" s="294"/>
      <c r="B621" s="294"/>
      <c r="C621" s="406"/>
      <c r="D621" s="406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294"/>
      <c r="P621" s="406"/>
      <c r="Q621" s="406"/>
      <c r="R621" s="406"/>
      <c r="S621" s="406"/>
      <c r="T621" s="294"/>
      <c r="U621" s="406"/>
      <c r="V621" s="406"/>
      <c r="W621" s="406"/>
      <c r="X621" s="406"/>
      <c r="Y621" s="294"/>
      <c r="Z621" s="406"/>
      <c r="AA621" s="406"/>
      <c r="AB621" s="406"/>
      <c r="AC621" s="406"/>
      <c r="AD621" s="294"/>
      <c r="AE621" s="406"/>
      <c r="AF621" s="406"/>
      <c r="AG621" s="406"/>
      <c r="AH621" s="406"/>
      <c r="AI621" s="294"/>
      <c r="AJ621" s="406"/>
      <c r="AK621" s="406"/>
      <c r="AL621" s="406"/>
      <c r="AM621" s="406"/>
      <c r="AN621" s="294"/>
      <c r="AO621" s="406"/>
      <c r="AP621" s="406"/>
      <c r="AQ621" s="406"/>
      <c r="AR621" s="406"/>
    </row>
    <row r="622">
      <c r="A622" s="294"/>
      <c r="B622" s="294"/>
      <c r="C622" s="406"/>
      <c r="D622" s="406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294"/>
      <c r="P622" s="406"/>
      <c r="Q622" s="406"/>
      <c r="R622" s="406"/>
      <c r="S622" s="406"/>
      <c r="T622" s="294"/>
      <c r="U622" s="406"/>
      <c r="V622" s="406"/>
      <c r="W622" s="406"/>
      <c r="X622" s="406"/>
      <c r="Y622" s="294"/>
      <c r="Z622" s="406"/>
      <c r="AA622" s="406"/>
      <c r="AB622" s="406"/>
      <c r="AC622" s="406"/>
      <c r="AD622" s="294"/>
      <c r="AE622" s="406"/>
      <c r="AF622" s="406"/>
      <c r="AG622" s="406"/>
      <c r="AH622" s="406"/>
      <c r="AI622" s="294"/>
      <c r="AJ622" s="406"/>
      <c r="AK622" s="406"/>
      <c r="AL622" s="406"/>
      <c r="AM622" s="406"/>
      <c r="AN622" s="294"/>
      <c r="AO622" s="406"/>
      <c r="AP622" s="406"/>
      <c r="AQ622" s="406"/>
      <c r="AR622" s="406"/>
    </row>
    <row r="623">
      <c r="A623" s="294"/>
      <c r="B623" s="294"/>
      <c r="C623" s="406"/>
      <c r="D623" s="406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294"/>
      <c r="P623" s="406"/>
      <c r="Q623" s="406"/>
      <c r="R623" s="406"/>
      <c r="S623" s="406"/>
      <c r="T623" s="294"/>
      <c r="U623" s="406"/>
      <c r="V623" s="406"/>
      <c r="W623" s="406"/>
      <c r="X623" s="406"/>
      <c r="Y623" s="294"/>
      <c r="Z623" s="406"/>
      <c r="AA623" s="406"/>
      <c r="AB623" s="406"/>
      <c r="AC623" s="406"/>
      <c r="AD623" s="294"/>
      <c r="AE623" s="406"/>
      <c r="AF623" s="406"/>
      <c r="AG623" s="406"/>
      <c r="AH623" s="406"/>
      <c r="AI623" s="294"/>
      <c r="AJ623" s="406"/>
      <c r="AK623" s="406"/>
      <c r="AL623" s="406"/>
      <c r="AM623" s="406"/>
      <c r="AN623" s="294"/>
      <c r="AO623" s="406"/>
      <c r="AP623" s="406"/>
      <c r="AQ623" s="406"/>
      <c r="AR623" s="406"/>
    </row>
    <row r="624">
      <c r="A624" s="294"/>
      <c r="B624" s="294"/>
      <c r="C624" s="406"/>
      <c r="D624" s="406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294"/>
      <c r="P624" s="406"/>
      <c r="Q624" s="406"/>
      <c r="R624" s="406"/>
      <c r="S624" s="406"/>
      <c r="T624" s="294"/>
      <c r="U624" s="406"/>
      <c r="V624" s="406"/>
      <c r="W624" s="406"/>
      <c r="X624" s="406"/>
      <c r="Y624" s="294"/>
      <c r="Z624" s="406"/>
      <c r="AA624" s="406"/>
      <c r="AB624" s="406"/>
      <c r="AC624" s="406"/>
      <c r="AD624" s="294"/>
      <c r="AE624" s="406"/>
      <c r="AF624" s="406"/>
      <c r="AG624" s="406"/>
      <c r="AH624" s="406"/>
      <c r="AI624" s="294"/>
      <c r="AJ624" s="406"/>
      <c r="AK624" s="406"/>
      <c r="AL624" s="406"/>
      <c r="AM624" s="406"/>
      <c r="AN624" s="294"/>
      <c r="AO624" s="406"/>
      <c r="AP624" s="406"/>
      <c r="AQ624" s="406"/>
      <c r="AR624" s="406"/>
    </row>
    <row r="625">
      <c r="A625" s="294"/>
      <c r="B625" s="294"/>
      <c r="C625" s="406"/>
      <c r="D625" s="406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294"/>
      <c r="P625" s="406"/>
      <c r="Q625" s="406"/>
      <c r="R625" s="406"/>
      <c r="S625" s="406"/>
      <c r="T625" s="294"/>
      <c r="U625" s="406"/>
      <c r="V625" s="406"/>
      <c r="W625" s="406"/>
      <c r="X625" s="406"/>
      <c r="Y625" s="294"/>
      <c r="Z625" s="406"/>
      <c r="AA625" s="406"/>
      <c r="AB625" s="406"/>
      <c r="AC625" s="406"/>
      <c r="AD625" s="294"/>
      <c r="AE625" s="406"/>
      <c r="AF625" s="406"/>
      <c r="AG625" s="406"/>
      <c r="AH625" s="406"/>
      <c r="AI625" s="294"/>
      <c r="AJ625" s="406"/>
      <c r="AK625" s="406"/>
      <c r="AL625" s="406"/>
      <c r="AM625" s="406"/>
      <c r="AN625" s="294"/>
      <c r="AO625" s="406"/>
      <c r="AP625" s="406"/>
      <c r="AQ625" s="406"/>
      <c r="AR625" s="406"/>
    </row>
    <row r="626">
      <c r="A626" s="294"/>
      <c r="B626" s="294"/>
      <c r="C626" s="406"/>
      <c r="D626" s="406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294"/>
      <c r="P626" s="406"/>
      <c r="Q626" s="406"/>
      <c r="R626" s="406"/>
      <c r="S626" s="406"/>
      <c r="T626" s="294"/>
      <c r="U626" s="406"/>
      <c r="V626" s="406"/>
      <c r="W626" s="406"/>
      <c r="X626" s="406"/>
      <c r="Y626" s="294"/>
      <c r="Z626" s="406"/>
      <c r="AA626" s="406"/>
      <c r="AB626" s="406"/>
      <c r="AC626" s="406"/>
      <c r="AD626" s="294"/>
      <c r="AE626" s="406"/>
      <c r="AF626" s="406"/>
      <c r="AG626" s="406"/>
      <c r="AH626" s="406"/>
      <c r="AI626" s="294"/>
      <c r="AJ626" s="406"/>
      <c r="AK626" s="406"/>
      <c r="AL626" s="406"/>
      <c r="AM626" s="406"/>
      <c r="AN626" s="294"/>
      <c r="AO626" s="406"/>
      <c r="AP626" s="406"/>
      <c r="AQ626" s="406"/>
      <c r="AR626" s="406"/>
    </row>
    <row r="627">
      <c r="A627" s="294"/>
      <c r="B627" s="294"/>
      <c r="C627" s="406"/>
      <c r="D627" s="406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294"/>
      <c r="P627" s="406"/>
      <c r="Q627" s="406"/>
      <c r="R627" s="406"/>
      <c r="S627" s="406"/>
      <c r="T627" s="294"/>
      <c r="U627" s="406"/>
      <c r="V627" s="406"/>
      <c r="W627" s="406"/>
      <c r="X627" s="406"/>
      <c r="Y627" s="294"/>
      <c r="Z627" s="406"/>
      <c r="AA627" s="406"/>
      <c r="AB627" s="406"/>
      <c r="AC627" s="406"/>
      <c r="AD627" s="294"/>
      <c r="AE627" s="406"/>
      <c r="AF627" s="406"/>
      <c r="AG627" s="406"/>
      <c r="AH627" s="406"/>
      <c r="AI627" s="294"/>
      <c r="AJ627" s="406"/>
      <c r="AK627" s="406"/>
      <c r="AL627" s="406"/>
      <c r="AM627" s="406"/>
      <c r="AN627" s="294"/>
      <c r="AO627" s="406"/>
      <c r="AP627" s="406"/>
      <c r="AQ627" s="406"/>
      <c r="AR627" s="406"/>
    </row>
    <row r="628">
      <c r="A628" s="294"/>
      <c r="B628" s="294"/>
      <c r="C628" s="406"/>
      <c r="D628" s="406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294"/>
      <c r="P628" s="406"/>
      <c r="Q628" s="406"/>
      <c r="R628" s="406"/>
      <c r="S628" s="406"/>
      <c r="T628" s="294"/>
      <c r="U628" s="406"/>
      <c r="V628" s="406"/>
      <c r="W628" s="406"/>
      <c r="X628" s="406"/>
      <c r="Y628" s="294"/>
      <c r="Z628" s="406"/>
      <c r="AA628" s="406"/>
      <c r="AB628" s="406"/>
      <c r="AC628" s="406"/>
      <c r="AD628" s="294"/>
      <c r="AE628" s="406"/>
      <c r="AF628" s="406"/>
      <c r="AG628" s="406"/>
      <c r="AH628" s="406"/>
      <c r="AI628" s="294"/>
      <c r="AJ628" s="406"/>
      <c r="AK628" s="406"/>
      <c r="AL628" s="406"/>
      <c r="AM628" s="406"/>
      <c r="AN628" s="294"/>
      <c r="AO628" s="406"/>
      <c r="AP628" s="406"/>
      <c r="AQ628" s="406"/>
      <c r="AR628" s="406"/>
    </row>
    <row r="629">
      <c r="A629" s="294"/>
      <c r="B629" s="294"/>
      <c r="C629" s="406"/>
      <c r="D629" s="406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294"/>
      <c r="P629" s="406"/>
      <c r="Q629" s="406"/>
      <c r="R629" s="406"/>
      <c r="S629" s="406"/>
      <c r="T629" s="294"/>
      <c r="U629" s="406"/>
      <c r="V629" s="406"/>
      <c r="W629" s="406"/>
      <c r="X629" s="406"/>
      <c r="Y629" s="294"/>
      <c r="Z629" s="406"/>
      <c r="AA629" s="406"/>
      <c r="AB629" s="406"/>
      <c r="AC629" s="406"/>
      <c r="AD629" s="294"/>
      <c r="AE629" s="406"/>
      <c r="AF629" s="406"/>
      <c r="AG629" s="406"/>
      <c r="AH629" s="406"/>
      <c r="AI629" s="294"/>
      <c r="AJ629" s="406"/>
      <c r="AK629" s="406"/>
      <c r="AL629" s="406"/>
      <c r="AM629" s="406"/>
      <c r="AN629" s="294"/>
      <c r="AO629" s="406"/>
      <c r="AP629" s="406"/>
      <c r="AQ629" s="406"/>
      <c r="AR629" s="406"/>
    </row>
    <row r="630">
      <c r="A630" s="294"/>
      <c r="B630" s="294"/>
      <c r="C630" s="406"/>
      <c r="D630" s="406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294"/>
      <c r="P630" s="406"/>
      <c r="Q630" s="406"/>
      <c r="R630" s="406"/>
      <c r="S630" s="406"/>
      <c r="T630" s="294"/>
      <c r="U630" s="406"/>
      <c r="V630" s="406"/>
      <c r="W630" s="406"/>
      <c r="X630" s="406"/>
      <c r="Y630" s="294"/>
      <c r="Z630" s="406"/>
      <c r="AA630" s="406"/>
      <c r="AB630" s="406"/>
      <c r="AC630" s="406"/>
      <c r="AD630" s="294"/>
      <c r="AE630" s="406"/>
      <c r="AF630" s="406"/>
      <c r="AG630" s="406"/>
      <c r="AH630" s="406"/>
      <c r="AI630" s="294"/>
      <c r="AJ630" s="406"/>
      <c r="AK630" s="406"/>
      <c r="AL630" s="406"/>
      <c r="AM630" s="406"/>
      <c r="AN630" s="294"/>
      <c r="AO630" s="406"/>
      <c r="AP630" s="406"/>
      <c r="AQ630" s="406"/>
      <c r="AR630" s="406"/>
    </row>
    <row r="631">
      <c r="A631" s="294"/>
      <c r="B631" s="294"/>
      <c r="C631" s="406"/>
      <c r="D631" s="406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294"/>
      <c r="P631" s="406"/>
      <c r="Q631" s="406"/>
      <c r="R631" s="406"/>
      <c r="S631" s="406"/>
      <c r="T631" s="294"/>
      <c r="U631" s="406"/>
      <c r="V631" s="406"/>
      <c r="W631" s="406"/>
      <c r="X631" s="406"/>
      <c r="Y631" s="294"/>
      <c r="Z631" s="406"/>
      <c r="AA631" s="406"/>
      <c r="AB631" s="406"/>
      <c r="AC631" s="406"/>
      <c r="AD631" s="294"/>
      <c r="AE631" s="406"/>
      <c r="AF631" s="406"/>
      <c r="AG631" s="406"/>
      <c r="AH631" s="406"/>
      <c r="AI631" s="294"/>
      <c r="AJ631" s="406"/>
      <c r="AK631" s="406"/>
      <c r="AL631" s="406"/>
      <c r="AM631" s="406"/>
      <c r="AN631" s="294"/>
      <c r="AO631" s="406"/>
      <c r="AP631" s="406"/>
      <c r="AQ631" s="406"/>
      <c r="AR631" s="406"/>
    </row>
    <row r="632">
      <c r="A632" s="294"/>
      <c r="B632" s="294"/>
      <c r="C632" s="406"/>
      <c r="D632" s="406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294"/>
      <c r="P632" s="406"/>
      <c r="Q632" s="406"/>
      <c r="R632" s="406"/>
      <c r="S632" s="406"/>
      <c r="T632" s="294"/>
      <c r="U632" s="406"/>
      <c r="V632" s="406"/>
      <c r="W632" s="406"/>
      <c r="X632" s="406"/>
      <c r="Y632" s="294"/>
      <c r="Z632" s="406"/>
      <c r="AA632" s="406"/>
      <c r="AB632" s="406"/>
      <c r="AC632" s="406"/>
      <c r="AD632" s="294"/>
      <c r="AE632" s="406"/>
      <c r="AF632" s="406"/>
      <c r="AG632" s="406"/>
      <c r="AH632" s="406"/>
      <c r="AI632" s="294"/>
      <c r="AJ632" s="406"/>
      <c r="AK632" s="406"/>
      <c r="AL632" s="406"/>
      <c r="AM632" s="406"/>
      <c r="AN632" s="294"/>
      <c r="AO632" s="406"/>
      <c r="AP632" s="406"/>
      <c r="AQ632" s="406"/>
      <c r="AR632" s="406"/>
    </row>
    <row r="633">
      <c r="A633" s="294"/>
      <c r="B633" s="294"/>
      <c r="C633" s="406"/>
      <c r="D633" s="406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294"/>
      <c r="P633" s="406"/>
      <c r="Q633" s="406"/>
      <c r="R633" s="406"/>
      <c r="S633" s="406"/>
      <c r="T633" s="294"/>
      <c r="U633" s="406"/>
      <c r="V633" s="406"/>
      <c r="W633" s="406"/>
      <c r="X633" s="406"/>
      <c r="Y633" s="294"/>
      <c r="Z633" s="406"/>
      <c r="AA633" s="406"/>
      <c r="AB633" s="406"/>
      <c r="AC633" s="406"/>
      <c r="AD633" s="294"/>
      <c r="AE633" s="406"/>
      <c r="AF633" s="406"/>
      <c r="AG633" s="406"/>
      <c r="AH633" s="406"/>
      <c r="AI633" s="294"/>
      <c r="AJ633" s="406"/>
      <c r="AK633" s="406"/>
      <c r="AL633" s="406"/>
      <c r="AM633" s="406"/>
      <c r="AN633" s="294"/>
      <c r="AO633" s="406"/>
      <c r="AP633" s="406"/>
      <c r="AQ633" s="406"/>
      <c r="AR633" s="406"/>
    </row>
    <row r="634">
      <c r="A634" s="294"/>
      <c r="B634" s="294"/>
      <c r="C634" s="406"/>
      <c r="D634" s="406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294"/>
      <c r="P634" s="406"/>
      <c r="Q634" s="406"/>
      <c r="R634" s="406"/>
      <c r="S634" s="406"/>
      <c r="T634" s="294"/>
      <c r="U634" s="406"/>
      <c r="V634" s="406"/>
      <c r="W634" s="406"/>
      <c r="X634" s="406"/>
      <c r="Y634" s="294"/>
      <c r="Z634" s="406"/>
      <c r="AA634" s="406"/>
      <c r="AB634" s="406"/>
      <c r="AC634" s="406"/>
      <c r="AD634" s="294"/>
      <c r="AE634" s="406"/>
      <c r="AF634" s="406"/>
      <c r="AG634" s="406"/>
      <c r="AH634" s="406"/>
      <c r="AI634" s="294"/>
      <c r="AJ634" s="406"/>
      <c r="AK634" s="406"/>
      <c r="AL634" s="406"/>
      <c r="AM634" s="406"/>
      <c r="AN634" s="294"/>
      <c r="AO634" s="406"/>
      <c r="AP634" s="406"/>
      <c r="AQ634" s="406"/>
      <c r="AR634" s="406"/>
    </row>
    <row r="635">
      <c r="A635" s="294"/>
      <c r="B635" s="294"/>
      <c r="C635" s="406"/>
      <c r="D635" s="406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294"/>
      <c r="P635" s="406"/>
      <c r="Q635" s="406"/>
      <c r="R635" s="406"/>
      <c r="S635" s="406"/>
      <c r="T635" s="294"/>
      <c r="U635" s="406"/>
      <c r="V635" s="406"/>
      <c r="W635" s="406"/>
      <c r="X635" s="406"/>
      <c r="Y635" s="294"/>
      <c r="Z635" s="406"/>
      <c r="AA635" s="406"/>
      <c r="AB635" s="406"/>
      <c r="AC635" s="406"/>
      <c r="AD635" s="294"/>
      <c r="AE635" s="406"/>
      <c r="AF635" s="406"/>
      <c r="AG635" s="406"/>
      <c r="AH635" s="406"/>
      <c r="AI635" s="294"/>
      <c r="AJ635" s="406"/>
      <c r="AK635" s="406"/>
      <c r="AL635" s="406"/>
      <c r="AM635" s="406"/>
      <c r="AN635" s="294"/>
      <c r="AO635" s="406"/>
      <c r="AP635" s="406"/>
      <c r="AQ635" s="406"/>
      <c r="AR635" s="406"/>
    </row>
    <row r="636">
      <c r="A636" s="294"/>
      <c r="B636" s="294"/>
      <c r="C636" s="406"/>
      <c r="D636" s="406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294"/>
      <c r="P636" s="406"/>
      <c r="Q636" s="406"/>
      <c r="R636" s="406"/>
      <c r="S636" s="406"/>
      <c r="T636" s="294"/>
      <c r="U636" s="406"/>
      <c r="V636" s="406"/>
      <c r="W636" s="406"/>
      <c r="X636" s="406"/>
      <c r="Y636" s="294"/>
      <c r="Z636" s="406"/>
      <c r="AA636" s="406"/>
      <c r="AB636" s="406"/>
      <c r="AC636" s="406"/>
      <c r="AD636" s="294"/>
      <c r="AE636" s="406"/>
      <c r="AF636" s="406"/>
      <c r="AG636" s="406"/>
      <c r="AH636" s="406"/>
      <c r="AI636" s="294"/>
      <c r="AJ636" s="406"/>
      <c r="AK636" s="406"/>
      <c r="AL636" s="406"/>
      <c r="AM636" s="406"/>
      <c r="AN636" s="294"/>
      <c r="AO636" s="406"/>
      <c r="AP636" s="406"/>
      <c r="AQ636" s="406"/>
      <c r="AR636" s="406"/>
    </row>
    <row r="637">
      <c r="A637" s="294"/>
      <c r="B637" s="294"/>
      <c r="C637" s="406"/>
      <c r="D637" s="406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294"/>
      <c r="P637" s="406"/>
      <c r="Q637" s="406"/>
      <c r="R637" s="406"/>
      <c r="S637" s="406"/>
      <c r="T637" s="294"/>
      <c r="U637" s="406"/>
      <c r="V637" s="406"/>
      <c r="W637" s="406"/>
      <c r="X637" s="406"/>
      <c r="Y637" s="294"/>
      <c r="Z637" s="406"/>
      <c r="AA637" s="406"/>
      <c r="AB637" s="406"/>
      <c r="AC637" s="406"/>
      <c r="AD637" s="294"/>
      <c r="AE637" s="406"/>
      <c r="AF637" s="406"/>
      <c r="AG637" s="406"/>
      <c r="AH637" s="406"/>
      <c r="AI637" s="294"/>
      <c r="AJ637" s="406"/>
      <c r="AK637" s="406"/>
      <c r="AL637" s="406"/>
      <c r="AM637" s="406"/>
      <c r="AN637" s="294"/>
      <c r="AO637" s="406"/>
      <c r="AP637" s="406"/>
      <c r="AQ637" s="406"/>
      <c r="AR637" s="406"/>
    </row>
    <row r="638">
      <c r="A638" s="294"/>
      <c r="B638" s="294"/>
      <c r="C638" s="406"/>
      <c r="D638" s="406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294"/>
      <c r="P638" s="406"/>
      <c r="Q638" s="406"/>
      <c r="R638" s="406"/>
      <c r="S638" s="406"/>
      <c r="T638" s="294"/>
      <c r="U638" s="406"/>
      <c r="V638" s="406"/>
      <c r="W638" s="406"/>
      <c r="X638" s="406"/>
      <c r="Y638" s="294"/>
      <c r="Z638" s="406"/>
      <c r="AA638" s="406"/>
      <c r="AB638" s="406"/>
      <c r="AC638" s="406"/>
      <c r="AD638" s="294"/>
      <c r="AE638" s="406"/>
      <c r="AF638" s="406"/>
      <c r="AG638" s="406"/>
      <c r="AH638" s="406"/>
      <c r="AI638" s="294"/>
      <c r="AJ638" s="406"/>
      <c r="AK638" s="406"/>
      <c r="AL638" s="406"/>
      <c r="AM638" s="406"/>
      <c r="AN638" s="294"/>
      <c r="AO638" s="406"/>
      <c r="AP638" s="406"/>
      <c r="AQ638" s="406"/>
      <c r="AR638" s="406"/>
    </row>
    <row r="639">
      <c r="A639" s="294"/>
      <c r="B639" s="294"/>
      <c r="C639" s="406"/>
      <c r="D639" s="406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294"/>
      <c r="P639" s="406"/>
      <c r="Q639" s="406"/>
      <c r="R639" s="406"/>
      <c r="S639" s="406"/>
      <c r="T639" s="294"/>
      <c r="U639" s="406"/>
      <c r="V639" s="406"/>
      <c r="W639" s="406"/>
      <c r="X639" s="406"/>
      <c r="Y639" s="294"/>
      <c r="Z639" s="406"/>
      <c r="AA639" s="406"/>
      <c r="AB639" s="406"/>
      <c r="AC639" s="406"/>
      <c r="AD639" s="294"/>
      <c r="AE639" s="406"/>
      <c r="AF639" s="406"/>
      <c r="AG639" s="406"/>
      <c r="AH639" s="406"/>
      <c r="AI639" s="294"/>
      <c r="AJ639" s="406"/>
      <c r="AK639" s="406"/>
      <c r="AL639" s="406"/>
      <c r="AM639" s="406"/>
      <c r="AN639" s="294"/>
      <c r="AO639" s="406"/>
      <c r="AP639" s="406"/>
      <c r="AQ639" s="406"/>
      <c r="AR639" s="406"/>
    </row>
    <row r="640">
      <c r="A640" s="294"/>
      <c r="B640" s="294"/>
      <c r="C640" s="406"/>
      <c r="D640" s="406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294"/>
      <c r="P640" s="406"/>
      <c r="Q640" s="406"/>
      <c r="R640" s="406"/>
      <c r="S640" s="406"/>
      <c r="T640" s="294"/>
      <c r="U640" s="406"/>
      <c r="V640" s="406"/>
      <c r="W640" s="406"/>
      <c r="X640" s="406"/>
      <c r="Y640" s="294"/>
      <c r="Z640" s="406"/>
      <c r="AA640" s="406"/>
      <c r="AB640" s="406"/>
      <c r="AC640" s="406"/>
      <c r="AD640" s="294"/>
      <c r="AE640" s="406"/>
      <c r="AF640" s="406"/>
      <c r="AG640" s="406"/>
      <c r="AH640" s="406"/>
      <c r="AI640" s="294"/>
      <c r="AJ640" s="406"/>
      <c r="AK640" s="406"/>
      <c r="AL640" s="406"/>
      <c r="AM640" s="406"/>
      <c r="AN640" s="294"/>
      <c r="AO640" s="406"/>
      <c r="AP640" s="406"/>
      <c r="AQ640" s="406"/>
      <c r="AR640" s="406"/>
    </row>
    <row r="641">
      <c r="A641" s="294"/>
      <c r="B641" s="294"/>
      <c r="C641" s="406"/>
      <c r="D641" s="406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294"/>
      <c r="P641" s="406"/>
      <c r="Q641" s="406"/>
      <c r="R641" s="406"/>
      <c r="S641" s="406"/>
      <c r="T641" s="294"/>
      <c r="U641" s="406"/>
      <c r="V641" s="406"/>
      <c r="W641" s="406"/>
      <c r="X641" s="406"/>
      <c r="Y641" s="294"/>
      <c r="Z641" s="406"/>
      <c r="AA641" s="406"/>
      <c r="AB641" s="406"/>
      <c r="AC641" s="406"/>
      <c r="AD641" s="294"/>
      <c r="AE641" s="406"/>
      <c r="AF641" s="406"/>
      <c r="AG641" s="406"/>
      <c r="AH641" s="406"/>
      <c r="AI641" s="294"/>
      <c r="AJ641" s="406"/>
      <c r="AK641" s="406"/>
      <c r="AL641" s="406"/>
      <c r="AM641" s="406"/>
      <c r="AN641" s="294"/>
      <c r="AO641" s="406"/>
      <c r="AP641" s="406"/>
      <c r="AQ641" s="406"/>
      <c r="AR641" s="406"/>
    </row>
    <row r="642">
      <c r="A642" s="294"/>
      <c r="B642" s="294"/>
      <c r="C642" s="406"/>
      <c r="D642" s="406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294"/>
      <c r="P642" s="406"/>
      <c r="Q642" s="406"/>
      <c r="R642" s="406"/>
      <c r="S642" s="406"/>
      <c r="T642" s="294"/>
      <c r="U642" s="406"/>
      <c r="V642" s="406"/>
      <c r="W642" s="406"/>
      <c r="X642" s="406"/>
      <c r="Y642" s="294"/>
      <c r="Z642" s="406"/>
      <c r="AA642" s="406"/>
      <c r="AB642" s="406"/>
      <c r="AC642" s="406"/>
      <c r="AD642" s="294"/>
      <c r="AE642" s="406"/>
      <c r="AF642" s="406"/>
      <c r="AG642" s="406"/>
      <c r="AH642" s="406"/>
      <c r="AI642" s="294"/>
      <c r="AJ642" s="406"/>
      <c r="AK642" s="406"/>
      <c r="AL642" s="406"/>
      <c r="AM642" s="406"/>
      <c r="AN642" s="294"/>
      <c r="AO642" s="406"/>
      <c r="AP642" s="406"/>
      <c r="AQ642" s="406"/>
      <c r="AR642" s="406"/>
    </row>
    <row r="643">
      <c r="A643" s="294"/>
      <c r="B643" s="294"/>
      <c r="C643" s="406"/>
      <c r="D643" s="406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294"/>
      <c r="P643" s="406"/>
      <c r="Q643" s="406"/>
      <c r="R643" s="406"/>
      <c r="S643" s="406"/>
      <c r="T643" s="294"/>
      <c r="U643" s="406"/>
      <c r="V643" s="406"/>
      <c r="W643" s="406"/>
      <c r="X643" s="406"/>
      <c r="Y643" s="294"/>
      <c r="Z643" s="406"/>
      <c r="AA643" s="406"/>
      <c r="AB643" s="406"/>
      <c r="AC643" s="406"/>
      <c r="AD643" s="294"/>
      <c r="AE643" s="406"/>
      <c r="AF643" s="406"/>
      <c r="AG643" s="406"/>
      <c r="AH643" s="406"/>
      <c r="AI643" s="294"/>
      <c r="AJ643" s="406"/>
      <c r="AK643" s="406"/>
      <c r="AL643" s="406"/>
      <c r="AM643" s="406"/>
      <c r="AN643" s="294"/>
      <c r="AO643" s="406"/>
      <c r="AP643" s="406"/>
      <c r="AQ643" s="406"/>
      <c r="AR643" s="406"/>
    </row>
    <row r="644">
      <c r="A644" s="294"/>
      <c r="B644" s="294"/>
      <c r="C644" s="406"/>
      <c r="D644" s="406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294"/>
      <c r="P644" s="406"/>
      <c r="Q644" s="406"/>
      <c r="R644" s="406"/>
      <c r="S644" s="406"/>
      <c r="T644" s="294"/>
      <c r="U644" s="406"/>
      <c r="V644" s="406"/>
      <c r="W644" s="406"/>
      <c r="X644" s="406"/>
      <c r="Y644" s="294"/>
      <c r="Z644" s="406"/>
      <c r="AA644" s="406"/>
      <c r="AB644" s="406"/>
      <c r="AC644" s="406"/>
      <c r="AD644" s="294"/>
      <c r="AE644" s="406"/>
      <c r="AF644" s="406"/>
      <c r="AG644" s="406"/>
      <c r="AH644" s="406"/>
      <c r="AI644" s="294"/>
      <c r="AJ644" s="406"/>
      <c r="AK644" s="406"/>
      <c r="AL644" s="406"/>
      <c r="AM644" s="406"/>
      <c r="AN644" s="294"/>
      <c r="AO644" s="406"/>
      <c r="AP644" s="406"/>
      <c r="AQ644" s="406"/>
      <c r="AR644" s="406"/>
    </row>
    <row r="645">
      <c r="A645" s="294"/>
      <c r="B645" s="294"/>
      <c r="C645" s="406"/>
      <c r="D645" s="406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294"/>
      <c r="P645" s="406"/>
      <c r="Q645" s="406"/>
      <c r="R645" s="406"/>
      <c r="S645" s="406"/>
      <c r="T645" s="294"/>
      <c r="U645" s="406"/>
      <c r="V645" s="406"/>
      <c r="W645" s="406"/>
      <c r="X645" s="406"/>
      <c r="Y645" s="294"/>
      <c r="Z645" s="406"/>
      <c r="AA645" s="406"/>
      <c r="AB645" s="406"/>
      <c r="AC645" s="406"/>
      <c r="AD645" s="294"/>
      <c r="AE645" s="406"/>
      <c r="AF645" s="406"/>
      <c r="AG645" s="406"/>
      <c r="AH645" s="406"/>
      <c r="AI645" s="294"/>
      <c r="AJ645" s="406"/>
      <c r="AK645" s="406"/>
      <c r="AL645" s="406"/>
      <c r="AM645" s="406"/>
      <c r="AN645" s="294"/>
      <c r="AO645" s="406"/>
      <c r="AP645" s="406"/>
      <c r="AQ645" s="406"/>
      <c r="AR645" s="406"/>
    </row>
    <row r="646">
      <c r="A646" s="294"/>
      <c r="B646" s="294"/>
      <c r="C646" s="406"/>
      <c r="D646" s="406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294"/>
      <c r="P646" s="406"/>
      <c r="Q646" s="406"/>
      <c r="R646" s="406"/>
      <c r="S646" s="406"/>
      <c r="T646" s="294"/>
      <c r="U646" s="406"/>
      <c r="V646" s="406"/>
      <c r="W646" s="406"/>
      <c r="X646" s="406"/>
      <c r="Y646" s="294"/>
      <c r="Z646" s="406"/>
      <c r="AA646" s="406"/>
      <c r="AB646" s="406"/>
      <c r="AC646" s="406"/>
      <c r="AD646" s="294"/>
      <c r="AE646" s="406"/>
      <c r="AF646" s="406"/>
      <c r="AG646" s="406"/>
      <c r="AH646" s="406"/>
      <c r="AI646" s="294"/>
      <c r="AJ646" s="406"/>
      <c r="AK646" s="406"/>
      <c r="AL646" s="406"/>
      <c r="AM646" s="406"/>
      <c r="AN646" s="294"/>
      <c r="AO646" s="406"/>
      <c r="AP646" s="406"/>
      <c r="AQ646" s="406"/>
      <c r="AR646" s="406"/>
    </row>
    <row r="647">
      <c r="A647" s="294"/>
      <c r="B647" s="294"/>
      <c r="C647" s="406"/>
      <c r="D647" s="406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294"/>
      <c r="P647" s="406"/>
      <c r="Q647" s="406"/>
      <c r="R647" s="406"/>
      <c r="S647" s="406"/>
      <c r="T647" s="294"/>
      <c r="U647" s="406"/>
      <c r="V647" s="406"/>
      <c r="W647" s="406"/>
      <c r="X647" s="406"/>
      <c r="Y647" s="294"/>
      <c r="Z647" s="406"/>
      <c r="AA647" s="406"/>
      <c r="AB647" s="406"/>
      <c r="AC647" s="406"/>
      <c r="AD647" s="294"/>
      <c r="AE647" s="406"/>
      <c r="AF647" s="406"/>
      <c r="AG647" s="406"/>
      <c r="AH647" s="406"/>
      <c r="AI647" s="294"/>
      <c r="AJ647" s="406"/>
      <c r="AK647" s="406"/>
      <c r="AL647" s="406"/>
      <c r="AM647" s="406"/>
      <c r="AN647" s="294"/>
      <c r="AO647" s="406"/>
      <c r="AP647" s="406"/>
      <c r="AQ647" s="406"/>
      <c r="AR647" s="406"/>
    </row>
    <row r="648">
      <c r="A648" s="294"/>
      <c r="B648" s="294"/>
      <c r="C648" s="406"/>
      <c r="D648" s="406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294"/>
      <c r="P648" s="406"/>
      <c r="Q648" s="406"/>
      <c r="R648" s="406"/>
      <c r="S648" s="406"/>
      <c r="T648" s="294"/>
      <c r="U648" s="406"/>
      <c r="V648" s="406"/>
      <c r="W648" s="406"/>
      <c r="X648" s="406"/>
      <c r="Y648" s="294"/>
      <c r="Z648" s="406"/>
      <c r="AA648" s="406"/>
      <c r="AB648" s="406"/>
      <c r="AC648" s="406"/>
      <c r="AD648" s="294"/>
      <c r="AE648" s="406"/>
      <c r="AF648" s="406"/>
      <c r="AG648" s="406"/>
      <c r="AH648" s="406"/>
      <c r="AI648" s="294"/>
      <c r="AJ648" s="406"/>
      <c r="AK648" s="406"/>
      <c r="AL648" s="406"/>
      <c r="AM648" s="406"/>
      <c r="AN648" s="294"/>
      <c r="AO648" s="406"/>
      <c r="AP648" s="406"/>
      <c r="AQ648" s="406"/>
      <c r="AR648" s="406"/>
    </row>
    <row r="649">
      <c r="A649" s="294"/>
      <c r="B649" s="294"/>
      <c r="C649" s="406"/>
      <c r="D649" s="406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294"/>
      <c r="P649" s="406"/>
      <c r="Q649" s="406"/>
      <c r="R649" s="406"/>
      <c r="S649" s="406"/>
      <c r="T649" s="294"/>
      <c r="U649" s="406"/>
      <c r="V649" s="406"/>
      <c r="W649" s="406"/>
      <c r="X649" s="406"/>
      <c r="Y649" s="294"/>
      <c r="Z649" s="406"/>
      <c r="AA649" s="406"/>
      <c r="AB649" s="406"/>
      <c r="AC649" s="406"/>
      <c r="AD649" s="294"/>
      <c r="AE649" s="406"/>
      <c r="AF649" s="406"/>
      <c r="AG649" s="406"/>
      <c r="AH649" s="406"/>
      <c r="AI649" s="294"/>
      <c r="AJ649" s="406"/>
      <c r="AK649" s="406"/>
      <c r="AL649" s="406"/>
      <c r="AM649" s="406"/>
      <c r="AN649" s="294"/>
      <c r="AO649" s="406"/>
      <c r="AP649" s="406"/>
      <c r="AQ649" s="406"/>
      <c r="AR649" s="406"/>
    </row>
    <row r="650">
      <c r="A650" s="294"/>
      <c r="B650" s="294"/>
      <c r="C650" s="406"/>
      <c r="D650" s="406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294"/>
      <c r="P650" s="406"/>
      <c r="Q650" s="406"/>
      <c r="R650" s="406"/>
      <c r="S650" s="406"/>
      <c r="T650" s="294"/>
      <c r="U650" s="406"/>
      <c r="V650" s="406"/>
      <c r="W650" s="406"/>
      <c r="X650" s="406"/>
      <c r="Y650" s="294"/>
      <c r="Z650" s="406"/>
      <c r="AA650" s="406"/>
      <c r="AB650" s="406"/>
      <c r="AC650" s="406"/>
      <c r="AD650" s="294"/>
      <c r="AE650" s="406"/>
      <c r="AF650" s="406"/>
      <c r="AG650" s="406"/>
      <c r="AH650" s="406"/>
      <c r="AI650" s="294"/>
      <c r="AJ650" s="406"/>
      <c r="AK650" s="406"/>
      <c r="AL650" s="406"/>
      <c r="AM650" s="406"/>
      <c r="AN650" s="294"/>
      <c r="AO650" s="406"/>
      <c r="AP650" s="406"/>
      <c r="AQ650" s="406"/>
      <c r="AR650" s="406"/>
    </row>
    <row r="651">
      <c r="A651" s="294"/>
      <c r="B651" s="294"/>
      <c r="C651" s="406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294"/>
      <c r="P651" s="406"/>
      <c r="Q651" s="406"/>
      <c r="R651" s="406"/>
      <c r="S651" s="406"/>
      <c r="T651" s="294"/>
      <c r="U651" s="406"/>
      <c r="V651" s="406"/>
      <c r="W651" s="406"/>
      <c r="X651" s="406"/>
      <c r="Y651" s="294"/>
      <c r="Z651" s="406"/>
      <c r="AA651" s="406"/>
      <c r="AB651" s="406"/>
      <c r="AC651" s="406"/>
      <c r="AD651" s="294"/>
      <c r="AE651" s="406"/>
      <c r="AF651" s="406"/>
      <c r="AG651" s="406"/>
      <c r="AH651" s="406"/>
      <c r="AI651" s="294"/>
      <c r="AJ651" s="406"/>
      <c r="AK651" s="406"/>
      <c r="AL651" s="406"/>
      <c r="AM651" s="406"/>
      <c r="AN651" s="294"/>
      <c r="AO651" s="406"/>
      <c r="AP651" s="406"/>
      <c r="AQ651" s="406"/>
      <c r="AR651" s="406"/>
    </row>
    <row r="652">
      <c r="A652" s="294"/>
      <c r="B652" s="294"/>
      <c r="C652" s="406"/>
      <c r="D652" s="406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294"/>
      <c r="P652" s="406"/>
      <c r="Q652" s="406"/>
      <c r="R652" s="406"/>
      <c r="S652" s="406"/>
      <c r="T652" s="294"/>
      <c r="U652" s="406"/>
      <c r="V652" s="406"/>
      <c r="W652" s="406"/>
      <c r="X652" s="406"/>
      <c r="Y652" s="294"/>
      <c r="Z652" s="406"/>
      <c r="AA652" s="406"/>
      <c r="AB652" s="406"/>
      <c r="AC652" s="406"/>
      <c r="AD652" s="294"/>
      <c r="AE652" s="406"/>
      <c r="AF652" s="406"/>
      <c r="AG652" s="406"/>
      <c r="AH652" s="406"/>
      <c r="AI652" s="294"/>
      <c r="AJ652" s="406"/>
      <c r="AK652" s="406"/>
      <c r="AL652" s="406"/>
      <c r="AM652" s="406"/>
      <c r="AN652" s="294"/>
      <c r="AO652" s="406"/>
      <c r="AP652" s="406"/>
      <c r="AQ652" s="406"/>
      <c r="AR652" s="406"/>
    </row>
    <row r="653">
      <c r="A653" s="294"/>
      <c r="B653" s="294"/>
      <c r="C653" s="406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294"/>
      <c r="P653" s="406"/>
      <c r="Q653" s="406"/>
      <c r="R653" s="406"/>
      <c r="S653" s="406"/>
      <c r="T653" s="294"/>
      <c r="U653" s="406"/>
      <c r="V653" s="406"/>
      <c r="W653" s="406"/>
      <c r="X653" s="406"/>
      <c r="Y653" s="294"/>
      <c r="Z653" s="406"/>
      <c r="AA653" s="406"/>
      <c r="AB653" s="406"/>
      <c r="AC653" s="406"/>
      <c r="AD653" s="294"/>
      <c r="AE653" s="406"/>
      <c r="AF653" s="406"/>
      <c r="AG653" s="406"/>
      <c r="AH653" s="406"/>
      <c r="AI653" s="294"/>
      <c r="AJ653" s="406"/>
      <c r="AK653" s="406"/>
      <c r="AL653" s="406"/>
      <c r="AM653" s="406"/>
      <c r="AN653" s="294"/>
      <c r="AO653" s="406"/>
      <c r="AP653" s="406"/>
      <c r="AQ653" s="406"/>
      <c r="AR653" s="406"/>
    </row>
    <row r="654">
      <c r="A654" s="294"/>
      <c r="B654" s="294"/>
      <c r="C654" s="406"/>
      <c r="D654" s="406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294"/>
      <c r="P654" s="406"/>
      <c r="Q654" s="406"/>
      <c r="R654" s="406"/>
      <c r="S654" s="406"/>
      <c r="T654" s="294"/>
      <c r="U654" s="406"/>
      <c r="V654" s="406"/>
      <c r="W654" s="406"/>
      <c r="X654" s="406"/>
      <c r="Y654" s="294"/>
      <c r="Z654" s="406"/>
      <c r="AA654" s="406"/>
      <c r="AB654" s="406"/>
      <c r="AC654" s="406"/>
      <c r="AD654" s="294"/>
      <c r="AE654" s="406"/>
      <c r="AF654" s="406"/>
      <c r="AG654" s="406"/>
      <c r="AH654" s="406"/>
      <c r="AI654" s="294"/>
      <c r="AJ654" s="406"/>
      <c r="AK654" s="406"/>
      <c r="AL654" s="406"/>
      <c r="AM654" s="406"/>
      <c r="AN654" s="294"/>
      <c r="AO654" s="406"/>
      <c r="AP654" s="406"/>
      <c r="AQ654" s="406"/>
      <c r="AR654" s="406"/>
    </row>
    <row r="655">
      <c r="A655" s="294"/>
      <c r="B655" s="294"/>
      <c r="C655" s="406"/>
      <c r="D655" s="406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294"/>
      <c r="P655" s="406"/>
      <c r="Q655" s="406"/>
      <c r="R655" s="406"/>
      <c r="S655" s="406"/>
      <c r="T655" s="294"/>
      <c r="U655" s="406"/>
      <c r="V655" s="406"/>
      <c r="W655" s="406"/>
      <c r="X655" s="406"/>
      <c r="Y655" s="294"/>
      <c r="Z655" s="406"/>
      <c r="AA655" s="406"/>
      <c r="AB655" s="406"/>
      <c r="AC655" s="406"/>
      <c r="AD655" s="294"/>
      <c r="AE655" s="406"/>
      <c r="AF655" s="406"/>
      <c r="AG655" s="406"/>
      <c r="AH655" s="406"/>
      <c r="AI655" s="294"/>
      <c r="AJ655" s="406"/>
      <c r="AK655" s="406"/>
      <c r="AL655" s="406"/>
      <c r="AM655" s="406"/>
      <c r="AN655" s="294"/>
      <c r="AO655" s="406"/>
      <c r="AP655" s="406"/>
      <c r="AQ655" s="406"/>
      <c r="AR655" s="406"/>
    </row>
    <row r="656">
      <c r="A656" s="294"/>
      <c r="B656" s="294"/>
      <c r="C656" s="406"/>
      <c r="D656" s="406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294"/>
      <c r="P656" s="406"/>
      <c r="Q656" s="406"/>
      <c r="R656" s="406"/>
      <c r="S656" s="406"/>
      <c r="T656" s="294"/>
      <c r="U656" s="406"/>
      <c r="V656" s="406"/>
      <c r="W656" s="406"/>
      <c r="X656" s="406"/>
      <c r="Y656" s="294"/>
      <c r="Z656" s="406"/>
      <c r="AA656" s="406"/>
      <c r="AB656" s="406"/>
      <c r="AC656" s="406"/>
      <c r="AD656" s="294"/>
      <c r="AE656" s="406"/>
      <c r="AF656" s="406"/>
      <c r="AG656" s="406"/>
      <c r="AH656" s="406"/>
      <c r="AI656" s="294"/>
      <c r="AJ656" s="406"/>
      <c r="AK656" s="406"/>
      <c r="AL656" s="406"/>
      <c r="AM656" s="406"/>
      <c r="AN656" s="294"/>
      <c r="AO656" s="406"/>
      <c r="AP656" s="406"/>
      <c r="AQ656" s="406"/>
      <c r="AR656" s="406"/>
    </row>
    <row r="657">
      <c r="A657" s="294"/>
      <c r="B657" s="294"/>
      <c r="C657" s="406"/>
      <c r="D657" s="406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294"/>
      <c r="P657" s="406"/>
      <c r="Q657" s="406"/>
      <c r="R657" s="406"/>
      <c r="S657" s="406"/>
      <c r="T657" s="294"/>
      <c r="U657" s="406"/>
      <c r="V657" s="406"/>
      <c r="W657" s="406"/>
      <c r="X657" s="406"/>
      <c r="Y657" s="294"/>
      <c r="Z657" s="406"/>
      <c r="AA657" s="406"/>
      <c r="AB657" s="406"/>
      <c r="AC657" s="406"/>
      <c r="AD657" s="294"/>
      <c r="AE657" s="406"/>
      <c r="AF657" s="406"/>
      <c r="AG657" s="406"/>
      <c r="AH657" s="406"/>
      <c r="AI657" s="294"/>
      <c r="AJ657" s="406"/>
      <c r="AK657" s="406"/>
      <c r="AL657" s="406"/>
      <c r="AM657" s="406"/>
      <c r="AN657" s="294"/>
      <c r="AO657" s="406"/>
      <c r="AP657" s="406"/>
      <c r="AQ657" s="406"/>
      <c r="AR657" s="406"/>
    </row>
    <row r="658">
      <c r="A658" s="294"/>
      <c r="B658" s="294"/>
      <c r="C658" s="406"/>
      <c r="D658" s="406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294"/>
      <c r="P658" s="406"/>
      <c r="Q658" s="406"/>
      <c r="R658" s="406"/>
      <c r="S658" s="406"/>
      <c r="T658" s="294"/>
      <c r="U658" s="406"/>
      <c r="V658" s="406"/>
      <c r="W658" s="406"/>
      <c r="X658" s="406"/>
      <c r="Y658" s="294"/>
      <c r="Z658" s="406"/>
      <c r="AA658" s="406"/>
      <c r="AB658" s="406"/>
      <c r="AC658" s="406"/>
      <c r="AD658" s="294"/>
      <c r="AE658" s="406"/>
      <c r="AF658" s="406"/>
      <c r="AG658" s="406"/>
      <c r="AH658" s="406"/>
      <c r="AI658" s="294"/>
      <c r="AJ658" s="406"/>
      <c r="AK658" s="406"/>
      <c r="AL658" s="406"/>
      <c r="AM658" s="406"/>
      <c r="AN658" s="294"/>
      <c r="AO658" s="406"/>
      <c r="AP658" s="406"/>
      <c r="AQ658" s="406"/>
      <c r="AR658" s="406"/>
    </row>
    <row r="659">
      <c r="A659" s="294"/>
      <c r="B659" s="294"/>
      <c r="C659" s="406"/>
      <c r="D659" s="406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294"/>
      <c r="P659" s="406"/>
      <c r="Q659" s="406"/>
      <c r="R659" s="406"/>
      <c r="S659" s="406"/>
      <c r="T659" s="294"/>
      <c r="U659" s="406"/>
      <c r="V659" s="406"/>
      <c r="W659" s="406"/>
      <c r="X659" s="406"/>
      <c r="Y659" s="294"/>
      <c r="Z659" s="406"/>
      <c r="AA659" s="406"/>
      <c r="AB659" s="406"/>
      <c r="AC659" s="406"/>
      <c r="AD659" s="294"/>
      <c r="AE659" s="406"/>
      <c r="AF659" s="406"/>
      <c r="AG659" s="406"/>
      <c r="AH659" s="406"/>
      <c r="AI659" s="294"/>
      <c r="AJ659" s="406"/>
      <c r="AK659" s="406"/>
      <c r="AL659" s="406"/>
      <c r="AM659" s="406"/>
      <c r="AN659" s="294"/>
      <c r="AO659" s="406"/>
      <c r="AP659" s="406"/>
      <c r="AQ659" s="406"/>
      <c r="AR659" s="406"/>
    </row>
    <row r="660">
      <c r="A660" s="294"/>
      <c r="B660" s="294"/>
      <c r="C660" s="406"/>
      <c r="D660" s="406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294"/>
      <c r="P660" s="406"/>
      <c r="Q660" s="406"/>
      <c r="R660" s="406"/>
      <c r="S660" s="406"/>
      <c r="T660" s="294"/>
      <c r="U660" s="406"/>
      <c r="V660" s="406"/>
      <c r="W660" s="406"/>
      <c r="X660" s="406"/>
      <c r="Y660" s="294"/>
      <c r="Z660" s="406"/>
      <c r="AA660" s="406"/>
      <c r="AB660" s="406"/>
      <c r="AC660" s="406"/>
      <c r="AD660" s="294"/>
      <c r="AE660" s="406"/>
      <c r="AF660" s="406"/>
      <c r="AG660" s="406"/>
      <c r="AH660" s="406"/>
      <c r="AI660" s="294"/>
      <c r="AJ660" s="406"/>
      <c r="AK660" s="406"/>
      <c r="AL660" s="406"/>
      <c r="AM660" s="406"/>
      <c r="AN660" s="294"/>
      <c r="AO660" s="406"/>
      <c r="AP660" s="406"/>
      <c r="AQ660" s="406"/>
      <c r="AR660" s="406"/>
    </row>
    <row r="661">
      <c r="A661" s="294"/>
      <c r="B661" s="294"/>
      <c r="C661" s="406"/>
      <c r="D661" s="406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294"/>
      <c r="P661" s="406"/>
      <c r="Q661" s="406"/>
      <c r="R661" s="406"/>
      <c r="S661" s="406"/>
      <c r="T661" s="294"/>
      <c r="U661" s="406"/>
      <c r="V661" s="406"/>
      <c r="W661" s="406"/>
      <c r="X661" s="406"/>
      <c r="Y661" s="294"/>
      <c r="Z661" s="406"/>
      <c r="AA661" s="406"/>
      <c r="AB661" s="406"/>
      <c r="AC661" s="406"/>
      <c r="AD661" s="294"/>
      <c r="AE661" s="406"/>
      <c r="AF661" s="406"/>
      <c r="AG661" s="406"/>
      <c r="AH661" s="406"/>
      <c r="AI661" s="294"/>
      <c r="AJ661" s="406"/>
      <c r="AK661" s="406"/>
      <c r="AL661" s="406"/>
      <c r="AM661" s="406"/>
      <c r="AN661" s="294"/>
      <c r="AO661" s="406"/>
      <c r="AP661" s="406"/>
      <c r="AQ661" s="406"/>
      <c r="AR661" s="406"/>
    </row>
    <row r="662">
      <c r="A662" s="294"/>
      <c r="B662" s="294"/>
      <c r="C662" s="406"/>
      <c r="D662" s="406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294"/>
      <c r="P662" s="406"/>
      <c r="Q662" s="406"/>
      <c r="R662" s="406"/>
      <c r="S662" s="406"/>
      <c r="T662" s="294"/>
      <c r="U662" s="406"/>
      <c r="V662" s="406"/>
      <c r="W662" s="406"/>
      <c r="X662" s="406"/>
      <c r="Y662" s="294"/>
      <c r="Z662" s="406"/>
      <c r="AA662" s="406"/>
      <c r="AB662" s="406"/>
      <c r="AC662" s="406"/>
      <c r="AD662" s="294"/>
      <c r="AE662" s="406"/>
      <c r="AF662" s="406"/>
      <c r="AG662" s="406"/>
      <c r="AH662" s="406"/>
      <c r="AI662" s="294"/>
      <c r="AJ662" s="406"/>
      <c r="AK662" s="406"/>
      <c r="AL662" s="406"/>
      <c r="AM662" s="406"/>
      <c r="AN662" s="294"/>
      <c r="AO662" s="406"/>
      <c r="AP662" s="406"/>
      <c r="AQ662" s="406"/>
      <c r="AR662" s="406"/>
    </row>
    <row r="663">
      <c r="A663" s="294"/>
      <c r="B663" s="294"/>
      <c r="C663" s="406"/>
      <c r="D663" s="406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294"/>
      <c r="P663" s="406"/>
      <c r="Q663" s="406"/>
      <c r="R663" s="406"/>
      <c r="S663" s="406"/>
      <c r="T663" s="294"/>
      <c r="U663" s="406"/>
      <c r="V663" s="406"/>
      <c r="W663" s="406"/>
      <c r="X663" s="406"/>
      <c r="Y663" s="294"/>
      <c r="Z663" s="406"/>
      <c r="AA663" s="406"/>
      <c r="AB663" s="406"/>
      <c r="AC663" s="406"/>
      <c r="AD663" s="294"/>
      <c r="AE663" s="406"/>
      <c r="AF663" s="406"/>
      <c r="AG663" s="406"/>
      <c r="AH663" s="406"/>
      <c r="AI663" s="294"/>
      <c r="AJ663" s="406"/>
      <c r="AK663" s="406"/>
      <c r="AL663" s="406"/>
      <c r="AM663" s="406"/>
      <c r="AN663" s="294"/>
      <c r="AO663" s="406"/>
      <c r="AP663" s="406"/>
      <c r="AQ663" s="406"/>
      <c r="AR663" s="406"/>
    </row>
    <row r="664">
      <c r="A664" s="294"/>
      <c r="B664" s="294"/>
      <c r="C664" s="406"/>
      <c r="D664" s="406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294"/>
      <c r="P664" s="406"/>
      <c r="Q664" s="406"/>
      <c r="R664" s="406"/>
      <c r="S664" s="406"/>
      <c r="T664" s="294"/>
      <c r="U664" s="406"/>
      <c r="V664" s="406"/>
      <c r="W664" s="406"/>
      <c r="X664" s="406"/>
      <c r="Y664" s="294"/>
      <c r="Z664" s="406"/>
      <c r="AA664" s="406"/>
      <c r="AB664" s="406"/>
      <c r="AC664" s="406"/>
      <c r="AD664" s="294"/>
      <c r="AE664" s="406"/>
      <c r="AF664" s="406"/>
      <c r="AG664" s="406"/>
      <c r="AH664" s="406"/>
      <c r="AI664" s="294"/>
      <c r="AJ664" s="406"/>
      <c r="AK664" s="406"/>
      <c r="AL664" s="406"/>
      <c r="AM664" s="406"/>
      <c r="AN664" s="294"/>
      <c r="AO664" s="406"/>
      <c r="AP664" s="406"/>
      <c r="AQ664" s="406"/>
      <c r="AR664" s="406"/>
    </row>
    <row r="665">
      <c r="A665" s="294"/>
      <c r="B665" s="294"/>
      <c r="C665" s="406"/>
      <c r="D665" s="406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294"/>
      <c r="P665" s="406"/>
      <c r="Q665" s="406"/>
      <c r="R665" s="406"/>
      <c r="S665" s="406"/>
      <c r="T665" s="294"/>
      <c r="U665" s="406"/>
      <c r="V665" s="406"/>
      <c r="W665" s="406"/>
      <c r="X665" s="406"/>
      <c r="Y665" s="294"/>
      <c r="Z665" s="406"/>
      <c r="AA665" s="406"/>
      <c r="AB665" s="406"/>
      <c r="AC665" s="406"/>
      <c r="AD665" s="294"/>
      <c r="AE665" s="406"/>
      <c r="AF665" s="406"/>
      <c r="AG665" s="406"/>
      <c r="AH665" s="406"/>
      <c r="AI665" s="294"/>
      <c r="AJ665" s="406"/>
      <c r="AK665" s="406"/>
      <c r="AL665" s="406"/>
      <c r="AM665" s="406"/>
      <c r="AN665" s="294"/>
      <c r="AO665" s="406"/>
      <c r="AP665" s="406"/>
      <c r="AQ665" s="406"/>
      <c r="AR665" s="406"/>
    </row>
    <row r="666">
      <c r="A666" s="294"/>
      <c r="B666" s="294"/>
      <c r="C666" s="406"/>
      <c r="D666" s="406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294"/>
      <c r="P666" s="406"/>
      <c r="Q666" s="406"/>
      <c r="R666" s="406"/>
      <c r="S666" s="406"/>
      <c r="T666" s="294"/>
      <c r="U666" s="406"/>
      <c r="V666" s="406"/>
      <c r="W666" s="406"/>
      <c r="X666" s="406"/>
      <c r="Y666" s="294"/>
      <c r="Z666" s="406"/>
      <c r="AA666" s="406"/>
      <c r="AB666" s="406"/>
      <c r="AC666" s="406"/>
      <c r="AD666" s="294"/>
      <c r="AE666" s="406"/>
      <c r="AF666" s="406"/>
      <c r="AG666" s="406"/>
      <c r="AH666" s="406"/>
      <c r="AI666" s="294"/>
      <c r="AJ666" s="406"/>
      <c r="AK666" s="406"/>
      <c r="AL666" s="406"/>
      <c r="AM666" s="406"/>
      <c r="AN666" s="294"/>
      <c r="AO666" s="406"/>
      <c r="AP666" s="406"/>
      <c r="AQ666" s="406"/>
      <c r="AR666" s="406"/>
    </row>
    <row r="667">
      <c r="A667" s="294"/>
      <c r="B667" s="294"/>
      <c r="C667" s="406"/>
      <c r="D667" s="406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294"/>
      <c r="P667" s="406"/>
      <c r="Q667" s="406"/>
      <c r="R667" s="406"/>
      <c r="S667" s="406"/>
      <c r="T667" s="294"/>
      <c r="U667" s="406"/>
      <c r="V667" s="406"/>
      <c r="W667" s="406"/>
      <c r="X667" s="406"/>
      <c r="Y667" s="294"/>
      <c r="Z667" s="406"/>
      <c r="AA667" s="406"/>
      <c r="AB667" s="406"/>
      <c r="AC667" s="406"/>
      <c r="AD667" s="294"/>
      <c r="AE667" s="406"/>
      <c r="AF667" s="406"/>
      <c r="AG667" s="406"/>
      <c r="AH667" s="406"/>
      <c r="AI667" s="294"/>
      <c r="AJ667" s="406"/>
      <c r="AK667" s="406"/>
      <c r="AL667" s="406"/>
      <c r="AM667" s="406"/>
      <c r="AN667" s="294"/>
      <c r="AO667" s="406"/>
      <c r="AP667" s="406"/>
      <c r="AQ667" s="406"/>
      <c r="AR667" s="406"/>
    </row>
    <row r="668">
      <c r="A668" s="294"/>
      <c r="B668" s="294"/>
      <c r="C668" s="406"/>
      <c r="D668" s="406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294"/>
      <c r="P668" s="406"/>
      <c r="Q668" s="406"/>
      <c r="R668" s="406"/>
      <c r="S668" s="406"/>
      <c r="T668" s="294"/>
      <c r="U668" s="406"/>
      <c r="V668" s="406"/>
      <c r="W668" s="406"/>
      <c r="X668" s="406"/>
      <c r="Y668" s="294"/>
      <c r="Z668" s="406"/>
      <c r="AA668" s="406"/>
      <c r="AB668" s="406"/>
      <c r="AC668" s="406"/>
      <c r="AD668" s="294"/>
      <c r="AE668" s="406"/>
      <c r="AF668" s="406"/>
      <c r="AG668" s="406"/>
      <c r="AH668" s="406"/>
      <c r="AI668" s="294"/>
      <c r="AJ668" s="406"/>
      <c r="AK668" s="406"/>
      <c r="AL668" s="406"/>
      <c r="AM668" s="406"/>
      <c r="AN668" s="294"/>
      <c r="AO668" s="406"/>
      <c r="AP668" s="406"/>
      <c r="AQ668" s="406"/>
      <c r="AR668" s="406"/>
    </row>
    <row r="669">
      <c r="A669" s="294"/>
      <c r="B669" s="294"/>
      <c r="C669" s="406"/>
      <c r="D669" s="406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294"/>
      <c r="P669" s="406"/>
      <c r="Q669" s="406"/>
      <c r="R669" s="406"/>
      <c r="S669" s="406"/>
      <c r="T669" s="294"/>
      <c r="U669" s="406"/>
      <c r="V669" s="406"/>
      <c r="W669" s="406"/>
      <c r="X669" s="406"/>
      <c r="Y669" s="294"/>
      <c r="Z669" s="406"/>
      <c r="AA669" s="406"/>
      <c r="AB669" s="406"/>
      <c r="AC669" s="406"/>
      <c r="AD669" s="294"/>
      <c r="AE669" s="406"/>
      <c r="AF669" s="406"/>
      <c r="AG669" s="406"/>
      <c r="AH669" s="406"/>
      <c r="AI669" s="294"/>
      <c r="AJ669" s="406"/>
      <c r="AK669" s="406"/>
      <c r="AL669" s="406"/>
      <c r="AM669" s="406"/>
      <c r="AN669" s="294"/>
      <c r="AO669" s="406"/>
      <c r="AP669" s="406"/>
      <c r="AQ669" s="406"/>
      <c r="AR669" s="406"/>
    </row>
    <row r="670">
      <c r="A670" s="294"/>
      <c r="B670" s="294"/>
      <c r="C670" s="406"/>
      <c r="D670" s="406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294"/>
      <c r="P670" s="406"/>
      <c r="Q670" s="406"/>
      <c r="R670" s="406"/>
      <c r="S670" s="406"/>
      <c r="T670" s="294"/>
      <c r="U670" s="406"/>
      <c r="V670" s="406"/>
      <c r="W670" s="406"/>
      <c r="X670" s="406"/>
      <c r="Y670" s="294"/>
      <c r="Z670" s="406"/>
      <c r="AA670" s="406"/>
      <c r="AB670" s="406"/>
      <c r="AC670" s="406"/>
      <c r="AD670" s="294"/>
      <c r="AE670" s="406"/>
      <c r="AF670" s="406"/>
      <c r="AG670" s="406"/>
      <c r="AH670" s="406"/>
      <c r="AI670" s="294"/>
      <c r="AJ670" s="406"/>
      <c r="AK670" s="406"/>
      <c r="AL670" s="406"/>
      <c r="AM670" s="406"/>
      <c r="AN670" s="294"/>
      <c r="AO670" s="406"/>
      <c r="AP670" s="406"/>
      <c r="AQ670" s="406"/>
      <c r="AR670" s="406"/>
    </row>
    <row r="671">
      <c r="A671" s="294"/>
      <c r="B671" s="294"/>
      <c r="C671" s="406"/>
      <c r="D671" s="406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294"/>
      <c r="P671" s="406"/>
      <c r="Q671" s="406"/>
      <c r="R671" s="406"/>
      <c r="S671" s="406"/>
      <c r="T671" s="294"/>
      <c r="U671" s="406"/>
      <c r="V671" s="406"/>
      <c r="W671" s="406"/>
      <c r="X671" s="406"/>
      <c r="Y671" s="294"/>
      <c r="Z671" s="406"/>
      <c r="AA671" s="406"/>
      <c r="AB671" s="406"/>
      <c r="AC671" s="406"/>
      <c r="AD671" s="294"/>
      <c r="AE671" s="406"/>
      <c r="AF671" s="406"/>
      <c r="AG671" s="406"/>
      <c r="AH671" s="406"/>
      <c r="AI671" s="294"/>
      <c r="AJ671" s="406"/>
      <c r="AK671" s="406"/>
      <c r="AL671" s="406"/>
      <c r="AM671" s="406"/>
      <c r="AN671" s="294"/>
      <c r="AO671" s="406"/>
      <c r="AP671" s="406"/>
      <c r="AQ671" s="406"/>
      <c r="AR671" s="406"/>
    </row>
    <row r="672">
      <c r="A672" s="294"/>
      <c r="B672" s="294"/>
      <c r="C672" s="406"/>
      <c r="D672" s="406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294"/>
      <c r="P672" s="406"/>
      <c r="Q672" s="406"/>
      <c r="R672" s="406"/>
      <c r="S672" s="406"/>
      <c r="T672" s="294"/>
      <c r="U672" s="406"/>
      <c r="V672" s="406"/>
      <c r="W672" s="406"/>
      <c r="X672" s="406"/>
      <c r="Y672" s="294"/>
      <c r="Z672" s="406"/>
      <c r="AA672" s="406"/>
      <c r="AB672" s="406"/>
      <c r="AC672" s="406"/>
      <c r="AD672" s="294"/>
      <c r="AE672" s="406"/>
      <c r="AF672" s="406"/>
      <c r="AG672" s="406"/>
      <c r="AH672" s="406"/>
      <c r="AI672" s="294"/>
      <c r="AJ672" s="406"/>
      <c r="AK672" s="406"/>
      <c r="AL672" s="406"/>
      <c r="AM672" s="406"/>
      <c r="AN672" s="294"/>
      <c r="AO672" s="406"/>
      <c r="AP672" s="406"/>
      <c r="AQ672" s="406"/>
      <c r="AR672" s="406"/>
    </row>
    <row r="673">
      <c r="A673" s="294"/>
      <c r="B673" s="294"/>
      <c r="C673" s="406"/>
      <c r="D673" s="406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294"/>
      <c r="P673" s="406"/>
      <c r="Q673" s="406"/>
      <c r="R673" s="406"/>
      <c r="S673" s="406"/>
      <c r="T673" s="294"/>
      <c r="U673" s="406"/>
      <c r="V673" s="406"/>
      <c r="W673" s="406"/>
      <c r="X673" s="406"/>
      <c r="Y673" s="294"/>
      <c r="Z673" s="406"/>
      <c r="AA673" s="406"/>
      <c r="AB673" s="406"/>
      <c r="AC673" s="406"/>
      <c r="AD673" s="294"/>
      <c r="AE673" s="406"/>
      <c r="AF673" s="406"/>
      <c r="AG673" s="406"/>
      <c r="AH673" s="406"/>
      <c r="AI673" s="294"/>
      <c r="AJ673" s="406"/>
      <c r="AK673" s="406"/>
      <c r="AL673" s="406"/>
      <c r="AM673" s="406"/>
      <c r="AN673" s="294"/>
      <c r="AO673" s="406"/>
      <c r="AP673" s="406"/>
      <c r="AQ673" s="406"/>
      <c r="AR673" s="406"/>
    </row>
    <row r="674">
      <c r="A674" s="294"/>
      <c r="B674" s="294"/>
      <c r="C674" s="406"/>
      <c r="D674" s="406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294"/>
      <c r="P674" s="406"/>
      <c r="Q674" s="406"/>
      <c r="R674" s="406"/>
      <c r="S674" s="406"/>
      <c r="T674" s="294"/>
      <c r="U674" s="406"/>
      <c r="V674" s="406"/>
      <c r="W674" s="406"/>
      <c r="X674" s="406"/>
      <c r="Y674" s="294"/>
      <c r="Z674" s="406"/>
      <c r="AA674" s="406"/>
      <c r="AB674" s="406"/>
      <c r="AC674" s="406"/>
      <c r="AD674" s="294"/>
      <c r="AE674" s="406"/>
      <c r="AF674" s="406"/>
      <c r="AG674" s="406"/>
      <c r="AH674" s="406"/>
      <c r="AI674" s="294"/>
      <c r="AJ674" s="406"/>
      <c r="AK674" s="406"/>
      <c r="AL674" s="406"/>
      <c r="AM674" s="406"/>
      <c r="AN674" s="294"/>
      <c r="AO674" s="406"/>
      <c r="AP674" s="406"/>
      <c r="AQ674" s="406"/>
      <c r="AR674" s="406"/>
    </row>
    <row r="675">
      <c r="A675" s="294"/>
      <c r="B675" s="294"/>
      <c r="C675" s="406"/>
      <c r="D675" s="406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294"/>
      <c r="P675" s="406"/>
      <c r="Q675" s="406"/>
      <c r="R675" s="406"/>
      <c r="S675" s="406"/>
      <c r="T675" s="294"/>
      <c r="U675" s="406"/>
      <c r="V675" s="406"/>
      <c r="W675" s="406"/>
      <c r="X675" s="406"/>
      <c r="Y675" s="294"/>
      <c r="Z675" s="406"/>
      <c r="AA675" s="406"/>
      <c r="AB675" s="406"/>
      <c r="AC675" s="406"/>
      <c r="AD675" s="294"/>
      <c r="AE675" s="406"/>
      <c r="AF675" s="406"/>
      <c r="AG675" s="406"/>
      <c r="AH675" s="406"/>
      <c r="AI675" s="294"/>
      <c r="AJ675" s="406"/>
      <c r="AK675" s="406"/>
      <c r="AL675" s="406"/>
      <c r="AM675" s="406"/>
      <c r="AN675" s="294"/>
      <c r="AO675" s="406"/>
      <c r="AP675" s="406"/>
      <c r="AQ675" s="406"/>
      <c r="AR675" s="406"/>
    </row>
    <row r="676">
      <c r="A676" s="294"/>
      <c r="B676" s="294"/>
      <c r="C676" s="406"/>
      <c r="D676" s="406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294"/>
      <c r="P676" s="406"/>
      <c r="Q676" s="406"/>
      <c r="R676" s="406"/>
      <c r="S676" s="406"/>
      <c r="T676" s="294"/>
      <c r="U676" s="406"/>
      <c r="V676" s="406"/>
      <c r="W676" s="406"/>
      <c r="X676" s="406"/>
      <c r="Y676" s="294"/>
      <c r="Z676" s="406"/>
      <c r="AA676" s="406"/>
      <c r="AB676" s="406"/>
      <c r="AC676" s="406"/>
      <c r="AD676" s="294"/>
      <c r="AE676" s="406"/>
      <c r="AF676" s="406"/>
      <c r="AG676" s="406"/>
      <c r="AH676" s="406"/>
      <c r="AI676" s="294"/>
      <c r="AJ676" s="406"/>
      <c r="AK676" s="406"/>
      <c r="AL676" s="406"/>
      <c r="AM676" s="406"/>
      <c r="AN676" s="294"/>
      <c r="AO676" s="406"/>
      <c r="AP676" s="406"/>
      <c r="AQ676" s="406"/>
      <c r="AR676" s="406"/>
    </row>
    <row r="677">
      <c r="A677" s="294"/>
      <c r="B677" s="294"/>
      <c r="C677" s="406"/>
      <c r="D677" s="406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294"/>
      <c r="P677" s="406"/>
      <c r="Q677" s="406"/>
      <c r="R677" s="406"/>
      <c r="S677" s="406"/>
      <c r="T677" s="294"/>
      <c r="U677" s="406"/>
      <c r="V677" s="406"/>
      <c r="W677" s="406"/>
      <c r="X677" s="406"/>
      <c r="Y677" s="294"/>
      <c r="Z677" s="406"/>
      <c r="AA677" s="406"/>
      <c r="AB677" s="406"/>
      <c r="AC677" s="406"/>
      <c r="AD677" s="294"/>
      <c r="AE677" s="406"/>
      <c r="AF677" s="406"/>
      <c r="AG677" s="406"/>
      <c r="AH677" s="406"/>
      <c r="AI677" s="294"/>
      <c r="AJ677" s="406"/>
      <c r="AK677" s="406"/>
      <c r="AL677" s="406"/>
      <c r="AM677" s="406"/>
      <c r="AN677" s="294"/>
      <c r="AO677" s="406"/>
      <c r="AP677" s="406"/>
      <c r="AQ677" s="406"/>
      <c r="AR677" s="406"/>
    </row>
    <row r="678">
      <c r="A678" s="294"/>
      <c r="B678" s="294"/>
      <c r="C678" s="406"/>
      <c r="D678" s="406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294"/>
      <c r="P678" s="406"/>
      <c r="Q678" s="406"/>
      <c r="R678" s="406"/>
      <c r="S678" s="406"/>
      <c r="T678" s="294"/>
      <c r="U678" s="406"/>
      <c r="V678" s="406"/>
      <c r="W678" s="406"/>
      <c r="X678" s="406"/>
      <c r="Y678" s="294"/>
      <c r="Z678" s="406"/>
      <c r="AA678" s="406"/>
      <c r="AB678" s="406"/>
      <c r="AC678" s="406"/>
      <c r="AD678" s="294"/>
      <c r="AE678" s="406"/>
      <c r="AF678" s="406"/>
      <c r="AG678" s="406"/>
      <c r="AH678" s="406"/>
      <c r="AI678" s="294"/>
      <c r="AJ678" s="406"/>
      <c r="AK678" s="406"/>
      <c r="AL678" s="406"/>
      <c r="AM678" s="406"/>
      <c r="AN678" s="294"/>
      <c r="AO678" s="406"/>
      <c r="AP678" s="406"/>
      <c r="AQ678" s="406"/>
      <c r="AR678" s="406"/>
    </row>
    <row r="679">
      <c r="A679" s="294"/>
      <c r="B679" s="294"/>
      <c r="C679" s="406"/>
      <c r="D679" s="406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294"/>
      <c r="P679" s="406"/>
      <c r="Q679" s="406"/>
      <c r="R679" s="406"/>
      <c r="S679" s="406"/>
      <c r="T679" s="294"/>
      <c r="U679" s="406"/>
      <c r="V679" s="406"/>
      <c r="W679" s="406"/>
      <c r="X679" s="406"/>
      <c r="Y679" s="294"/>
      <c r="Z679" s="406"/>
      <c r="AA679" s="406"/>
      <c r="AB679" s="406"/>
      <c r="AC679" s="406"/>
      <c r="AD679" s="294"/>
      <c r="AE679" s="406"/>
      <c r="AF679" s="406"/>
      <c r="AG679" s="406"/>
      <c r="AH679" s="406"/>
      <c r="AI679" s="294"/>
      <c r="AJ679" s="406"/>
      <c r="AK679" s="406"/>
      <c r="AL679" s="406"/>
      <c r="AM679" s="406"/>
      <c r="AN679" s="294"/>
      <c r="AO679" s="406"/>
      <c r="AP679" s="406"/>
      <c r="AQ679" s="406"/>
      <c r="AR679" s="406"/>
    </row>
    <row r="680">
      <c r="A680" s="294"/>
      <c r="B680" s="294"/>
      <c r="C680" s="406"/>
      <c r="D680" s="406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294"/>
      <c r="P680" s="406"/>
      <c r="Q680" s="406"/>
      <c r="R680" s="406"/>
      <c r="S680" s="406"/>
      <c r="T680" s="294"/>
      <c r="U680" s="406"/>
      <c r="V680" s="406"/>
      <c r="W680" s="406"/>
      <c r="X680" s="406"/>
      <c r="Y680" s="294"/>
      <c r="Z680" s="406"/>
      <c r="AA680" s="406"/>
      <c r="AB680" s="406"/>
      <c r="AC680" s="406"/>
      <c r="AD680" s="294"/>
      <c r="AE680" s="406"/>
      <c r="AF680" s="406"/>
      <c r="AG680" s="406"/>
      <c r="AH680" s="406"/>
      <c r="AI680" s="294"/>
      <c r="AJ680" s="406"/>
      <c r="AK680" s="406"/>
      <c r="AL680" s="406"/>
      <c r="AM680" s="406"/>
      <c r="AN680" s="294"/>
      <c r="AO680" s="406"/>
      <c r="AP680" s="406"/>
      <c r="AQ680" s="406"/>
      <c r="AR680" s="406"/>
    </row>
    <row r="681">
      <c r="A681" s="294"/>
      <c r="B681" s="294"/>
      <c r="C681" s="406"/>
      <c r="D681" s="406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294"/>
      <c r="P681" s="406"/>
      <c r="Q681" s="406"/>
      <c r="R681" s="406"/>
      <c r="S681" s="406"/>
      <c r="T681" s="294"/>
      <c r="U681" s="406"/>
      <c r="V681" s="406"/>
      <c r="W681" s="406"/>
      <c r="X681" s="406"/>
      <c r="Y681" s="294"/>
      <c r="Z681" s="406"/>
      <c r="AA681" s="406"/>
      <c r="AB681" s="406"/>
      <c r="AC681" s="406"/>
      <c r="AD681" s="294"/>
      <c r="AE681" s="406"/>
      <c r="AF681" s="406"/>
      <c r="AG681" s="406"/>
      <c r="AH681" s="406"/>
      <c r="AI681" s="294"/>
      <c r="AJ681" s="406"/>
      <c r="AK681" s="406"/>
      <c r="AL681" s="406"/>
      <c r="AM681" s="406"/>
      <c r="AN681" s="294"/>
      <c r="AO681" s="406"/>
      <c r="AP681" s="406"/>
      <c r="AQ681" s="406"/>
      <c r="AR681" s="406"/>
    </row>
    <row r="682">
      <c r="A682" s="294"/>
      <c r="B682" s="294"/>
      <c r="C682" s="406"/>
      <c r="D682" s="406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294"/>
      <c r="P682" s="406"/>
      <c r="Q682" s="406"/>
      <c r="R682" s="406"/>
      <c r="S682" s="406"/>
      <c r="T682" s="294"/>
      <c r="U682" s="406"/>
      <c r="V682" s="406"/>
      <c r="W682" s="406"/>
      <c r="X682" s="406"/>
      <c r="Y682" s="294"/>
      <c r="Z682" s="406"/>
      <c r="AA682" s="406"/>
      <c r="AB682" s="406"/>
      <c r="AC682" s="406"/>
      <c r="AD682" s="294"/>
      <c r="AE682" s="406"/>
      <c r="AF682" s="406"/>
      <c r="AG682" s="406"/>
      <c r="AH682" s="406"/>
      <c r="AI682" s="294"/>
      <c r="AJ682" s="406"/>
      <c r="AK682" s="406"/>
      <c r="AL682" s="406"/>
      <c r="AM682" s="406"/>
      <c r="AN682" s="294"/>
      <c r="AO682" s="406"/>
      <c r="AP682" s="406"/>
      <c r="AQ682" s="406"/>
      <c r="AR682" s="406"/>
    </row>
    <row r="683">
      <c r="A683" s="294"/>
      <c r="B683" s="294"/>
      <c r="C683" s="406"/>
      <c r="D683" s="406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294"/>
      <c r="P683" s="406"/>
      <c r="Q683" s="406"/>
      <c r="R683" s="406"/>
      <c r="S683" s="406"/>
      <c r="T683" s="294"/>
      <c r="U683" s="406"/>
      <c r="V683" s="406"/>
      <c r="W683" s="406"/>
      <c r="X683" s="406"/>
      <c r="Y683" s="294"/>
      <c r="Z683" s="406"/>
      <c r="AA683" s="406"/>
      <c r="AB683" s="406"/>
      <c r="AC683" s="406"/>
      <c r="AD683" s="294"/>
      <c r="AE683" s="406"/>
      <c r="AF683" s="406"/>
      <c r="AG683" s="406"/>
      <c r="AH683" s="406"/>
      <c r="AI683" s="294"/>
      <c r="AJ683" s="406"/>
      <c r="AK683" s="406"/>
      <c r="AL683" s="406"/>
      <c r="AM683" s="406"/>
      <c r="AN683" s="294"/>
      <c r="AO683" s="406"/>
      <c r="AP683" s="406"/>
      <c r="AQ683" s="406"/>
      <c r="AR683" s="406"/>
    </row>
    <row r="684">
      <c r="A684" s="294"/>
      <c r="B684" s="294"/>
      <c r="C684" s="406"/>
      <c r="D684" s="406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294"/>
      <c r="P684" s="406"/>
      <c r="Q684" s="406"/>
      <c r="R684" s="406"/>
      <c r="S684" s="406"/>
      <c r="T684" s="294"/>
      <c r="U684" s="406"/>
      <c r="V684" s="406"/>
      <c r="W684" s="406"/>
      <c r="X684" s="406"/>
      <c r="Y684" s="294"/>
      <c r="Z684" s="406"/>
      <c r="AA684" s="406"/>
      <c r="AB684" s="406"/>
      <c r="AC684" s="406"/>
      <c r="AD684" s="294"/>
      <c r="AE684" s="406"/>
      <c r="AF684" s="406"/>
      <c r="AG684" s="406"/>
      <c r="AH684" s="406"/>
      <c r="AI684" s="294"/>
      <c r="AJ684" s="406"/>
      <c r="AK684" s="406"/>
      <c r="AL684" s="406"/>
      <c r="AM684" s="406"/>
      <c r="AN684" s="294"/>
      <c r="AO684" s="406"/>
      <c r="AP684" s="406"/>
      <c r="AQ684" s="406"/>
      <c r="AR684" s="406"/>
    </row>
    <row r="685">
      <c r="A685" s="294"/>
      <c r="B685" s="294"/>
      <c r="C685" s="406"/>
      <c r="D685" s="406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294"/>
      <c r="P685" s="406"/>
      <c r="Q685" s="406"/>
      <c r="R685" s="406"/>
      <c r="S685" s="406"/>
      <c r="T685" s="294"/>
      <c r="U685" s="406"/>
      <c r="V685" s="406"/>
      <c r="W685" s="406"/>
      <c r="X685" s="406"/>
      <c r="Y685" s="294"/>
      <c r="Z685" s="406"/>
      <c r="AA685" s="406"/>
      <c r="AB685" s="406"/>
      <c r="AC685" s="406"/>
      <c r="AD685" s="294"/>
      <c r="AE685" s="406"/>
      <c r="AF685" s="406"/>
      <c r="AG685" s="406"/>
      <c r="AH685" s="406"/>
      <c r="AI685" s="294"/>
      <c r="AJ685" s="406"/>
      <c r="AK685" s="406"/>
      <c r="AL685" s="406"/>
      <c r="AM685" s="406"/>
      <c r="AN685" s="294"/>
      <c r="AO685" s="406"/>
      <c r="AP685" s="406"/>
      <c r="AQ685" s="406"/>
      <c r="AR685" s="406"/>
    </row>
    <row r="686">
      <c r="A686" s="294"/>
      <c r="B686" s="294"/>
      <c r="C686" s="406"/>
      <c r="D686" s="406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294"/>
      <c r="P686" s="406"/>
      <c r="Q686" s="406"/>
      <c r="R686" s="406"/>
      <c r="S686" s="406"/>
      <c r="T686" s="294"/>
      <c r="U686" s="406"/>
      <c r="V686" s="406"/>
      <c r="W686" s="406"/>
      <c r="X686" s="406"/>
      <c r="Y686" s="294"/>
      <c r="Z686" s="406"/>
      <c r="AA686" s="406"/>
      <c r="AB686" s="406"/>
      <c r="AC686" s="406"/>
      <c r="AD686" s="294"/>
      <c r="AE686" s="406"/>
      <c r="AF686" s="406"/>
      <c r="AG686" s="406"/>
      <c r="AH686" s="406"/>
      <c r="AI686" s="294"/>
      <c r="AJ686" s="406"/>
      <c r="AK686" s="406"/>
      <c r="AL686" s="406"/>
      <c r="AM686" s="406"/>
      <c r="AN686" s="294"/>
      <c r="AO686" s="406"/>
      <c r="AP686" s="406"/>
      <c r="AQ686" s="406"/>
      <c r="AR686" s="406"/>
    </row>
    <row r="687">
      <c r="A687" s="294"/>
      <c r="B687" s="294"/>
      <c r="C687" s="406"/>
      <c r="D687" s="406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294"/>
      <c r="P687" s="406"/>
      <c r="Q687" s="406"/>
      <c r="R687" s="406"/>
      <c r="S687" s="406"/>
      <c r="T687" s="294"/>
      <c r="U687" s="406"/>
      <c r="V687" s="406"/>
      <c r="W687" s="406"/>
      <c r="X687" s="406"/>
      <c r="Y687" s="294"/>
      <c r="Z687" s="406"/>
      <c r="AA687" s="406"/>
      <c r="AB687" s="406"/>
      <c r="AC687" s="406"/>
      <c r="AD687" s="294"/>
      <c r="AE687" s="406"/>
      <c r="AF687" s="406"/>
      <c r="AG687" s="406"/>
      <c r="AH687" s="406"/>
      <c r="AI687" s="294"/>
      <c r="AJ687" s="406"/>
      <c r="AK687" s="406"/>
      <c r="AL687" s="406"/>
      <c r="AM687" s="406"/>
      <c r="AN687" s="294"/>
      <c r="AO687" s="406"/>
      <c r="AP687" s="406"/>
      <c r="AQ687" s="406"/>
      <c r="AR687" s="406"/>
    </row>
    <row r="688">
      <c r="A688" s="294"/>
      <c r="B688" s="294"/>
      <c r="C688" s="406"/>
      <c r="D688" s="406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294"/>
      <c r="P688" s="406"/>
      <c r="Q688" s="406"/>
      <c r="R688" s="406"/>
      <c r="S688" s="406"/>
      <c r="T688" s="294"/>
      <c r="U688" s="406"/>
      <c r="V688" s="406"/>
      <c r="W688" s="406"/>
      <c r="X688" s="406"/>
      <c r="Y688" s="294"/>
      <c r="Z688" s="406"/>
      <c r="AA688" s="406"/>
      <c r="AB688" s="406"/>
      <c r="AC688" s="406"/>
      <c r="AD688" s="294"/>
      <c r="AE688" s="406"/>
      <c r="AF688" s="406"/>
      <c r="AG688" s="406"/>
      <c r="AH688" s="406"/>
      <c r="AI688" s="294"/>
      <c r="AJ688" s="406"/>
      <c r="AK688" s="406"/>
      <c r="AL688" s="406"/>
      <c r="AM688" s="406"/>
      <c r="AN688" s="294"/>
      <c r="AO688" s="406"/>
      <c r="AP688" s="406"/>
      <c r="AQ688" s="406"/>
      <c r="AR688" s="406"/>
    </row>
    <row r="689">
      <c r="A689" s="294"/>
      <c r="B689" s="294"/>
      <c r="C689" s="406"/>
      <c r="D689" s="406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294"/>
      <c r="P689" s="406"/>
      <c r="Q689" s="406"/>
      <c r="R689" s="406"/>
      <c r="S689" s="406"/>
      <c r="T689" s="294"/>
      <c r="U689" s="406"/>
      <c r="V689" s="406"/>
      <c r="W689" s="406"/>
      <c r="X689" s="406"/>
      <c r="Y689" s="294"/>
      <c r="Z689" s="406"/>
      <c r="AA689" s="406"/>
      <c r="AB689" s="406"/>
      <c r="AC689" s="406"/>
      <c r="AD689" s="294"/>
      <c r="AE689" s="406"/>
      <c r="AF689" s="406"/>
      <c r="AG689" s="406"/>
      <c r="AH689" s="406"/>
      <c r="AI689" s="294"/>
      <c r="AJ689" s="406"/>
      <c r="AK689" s="406"/>
      <c r="AL689" s="406"/>
      <c r="AM689" s="406"/>
      <c r="AN689" s="294"/>
      <c r="AO689" s="406"/>
      <c r="AP689" s="406"/>
      <c r="AQ689" s="406"/>
      <c r="AR689" s="406"/>
    </row>
    <row r="690">
      <c r="A690" s="294"/>
      <c r="B690" s="294"/>
      <c r="C690" s="406"/>
      <c r="D690" s="406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294"/>
      <c r="P690" s="406"/>
      <c r="Q690" s="406"/>
      <c r="R690" s="406"/>
      <c r="S690" s="406"/>
      <c r="T690" s="294"/>
      <c r="U690" s="406"/>
      <c r="V690" s="406"/>
      <c r="W690" s="406"/>
      <c r="X690" s="406"/>
      <c r="Y690" s="294"/>
      <c r="Z690" s="406"/>
      <c r="AA690" s="406"/>
      <c r="AB690" s="406"/>
      <c r="AC690" s="406"/>
      <c r="AD690" s="294"/>
      <c r="AE690" s="406"/>
      <c r="AF690" s="406"/>
      <c r="AG690" s="406"/>
      <c r="AH690" s="406"/>
      <c r="AI690" s="294"/>
      <c r="AJ690" s="406"/>
      <c r="AK690" s="406"/>
      <c r="AL690" s="406"/>
      <c r="AM690" s="406"/>
      <c r="AN690" s="294"/>
      <c r="AO690" s="406"/>
      <c r="AP690" s="406"/>
      <c r="AQ690" s="406"/>
      <c r="AR690" s="406"/>
    </row>
    <row r="691">
      <c r="A691" s="294"/>
      <c r="B691" s="294"/>
      <c r="C691" s="406"/>
      <c r="D691" s="406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294"/>
      <c r="P691" s="406"/>
      <c r="Q691" s="406"/>
      <c r="R691" s="406"/>
      <c r="S691" s="406"/>
      <c r="T691" s="294"/>
      <c r="U691" s="406"/>
      <c r="V691" s="406"/>
      <c r="W691" s="406"/>
      <c r="X691" s="406"/>
      <c r="Y691" s="294"/>
      <c r="Z691" s="406"/>
      <c r="AA691" s="406"/>
      <c r="AB691" s="406"/>
      <c r="AC691" s="406"/>
      <c r="AD691" s="294"/>
      <c r="AE691" s="406"/>
      <c r="AF691" s="406"/>
      <c r="AG691" s="406"/>
      <c r="AH691" s="406"/>
      <c r="AI691" s="294"/>
      <c r="AJ691" s="406"/>
      <c r="AK691" s="406"/>
      <c r="AL691" s="406"/>
      <c r="AM691" s="406"/>
      <c r="AN691" s="294"/>
      <c r="AO691" s="406"/>
      <c r="AP691" s="406"/>
      <c r="AQ691" s="406"/>
      <c r="AR691" s="406"/>
    </row>
    <row r="692">
      <c r="A692" s="294"/>
      <c r="B692" s="294"/>
      <c r="C692" s="406"/>
      <c r="D692" s="406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294"/>
      <c r="P692" s="406"/>
      <c r="Q692" s="406"/>
      <c r="R692" s="406"/>
      <c r="S692" s="406"/>
      <c r="T692" s="294"/>
      <c r="U692" s="406"/>
      <c r="V692" s="406"/>
      <c r="W692" s="406"/>
      <c r="X692" s="406"/>
      <c r="Y692" s="294"/>
      <c r="Z692" s="406"/>
      <c r="AA692" s="406"/>
      <c r="AB692" s="406"/>
      <c r="AC692" s="406"/>
      <c r="AD692" s="294"/>
      <c r="AE692" s="406"/>
      <c r="AF692" s="406"/>
      <c r="AG692" s="406"/>
      <c r="AH692" s="406"/>
      <c r="AI692" s="294"/>
      <c r="AJ692" s="406"/>
      <c r="AK692" s="406"/>
      <c r="AL692" s="406"/>
      <c r="AM692" s="406"/>
      <c r="AN692" s="294"/>
      <c r="AO692" s="406"/>
      <c r="AP692" s="406"/>
      <c r="AQ692" s="406"/>
      <c r="AR692" s="406"/>
    </row>
    <row r="693">
      <c r="A693" s="294"/>
      <c r="B693" s="294"/>
      <c r="C693" s="406"/>
      <c r="D693" s="406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294"/>
      <c r="P693" s="406"/>
      <c r="Q693" s="406"/>
      <c r="R693" s="406"/>
      <c r="S693" s="406"/>
      <c r="T693" s="294"/>
      <c r="U693" s="406"/>
      <c r="V693" s="406"/>
      <c r="W693" s="406"/>
      <c r="X693" s="406"/>
      <c r="Y693" s="294"/>
      <c r="Z693" s="406"/>
      <c r="AA693" s="406"/>
      <c r="AB693" s="406"/>
      <c r="AC693" s="406"/>
      <c r="AD693" s="294"/>
      <c r="AE693" s="406"/>
      <c r="AF693" s="406"/>
      <c r="AG693" s="406"/>
      <c r="AH693" s="406"/>
      <c r="AI693" s="294"/>
      <c r="AJ693" s="406"/>
      <c r="AK693" s="406"/>
      <c r="AL693" s="406"/>
      <c r="AM693" s="406"/>
      <c r="AN693" s="294"/>
      <c r="AO693" s="406"/>
      <c r="AP693" s="406"/>
      <c r="AQ693" s="406"/>
      <c r="AR693" s="406"/>
    </row>
    <row r="694">
      <c r="A694" s="294"/>
      <c r="B694" s="294"/>
      <c r="C694" s="406"/>
      <c r="D694" s="406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294"/>
      <c r="P694" s="406"/>
      <c r="Q694" s="406"/>
      <c r="R694" s="406"/>
      <c r="S694" s="406"/>
      <c r="T694" s="294"/>
      <c r="U694" s="406"/>
      <c r="V694" s="406"/>
      <c r="W694" s="406"/>
      <c r="X694" s="406"/>
      <c r="Y694" s="294"/>
      <c r="Z694" s="406"/>
      <c r="AA694" s="406"/>
      <c r="AB694" s="406"/>
      <c r="AC694" s="406"/>
      <c r="AD694" s="294"/>
      <c r="AE694" s="406"/>
      <c r="AF694" s="406"/>
      <c r="AG694" s="406"/>
      <c r="AH694" s="406"/>
      <c r="AI694" s="294"/>
      <c r="AJ694" s="406"/>
      <c r="AK694" s="406"/>
      <c r="AL694" s="406"/>
      <c r="AM694" s="406"/>
      <c r="AN694" s="294"/>
      <c r="AO694" s="406"/>
      <c r="AP694" s="406"/>
      <c r="AQ694" s="406"/>
      <c r="AR694" s="406"/>
    </row>
    <row r="695">
      <c r="A695" s="294"/>
      <c r="B695" s="294"/>
      <c r="C695" s="406"/>
      <c r="D695" s="406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294"/>
      <c r="P695" s="406"/>
      <c r="Q695" s="406"/>
      <c r="R695" s="406"/>
      <c r="S695" s="406"/>
      <c r="T695" s="294"/>
      <c r="U695" s="406"/>
      <c r="V695" s="406"/>
      <c r="W695" s="406"/>
      <c r="X695" s="406"/>
      <c r="Y695" s="294"/>
      <c r="Z695" s="406"/>
      <c r="AA695" s="406"/>
      <c r="AB695" s="406"/>
      <c r="AC695" s="406"/>
      <c r="AD695" s="294"/>
      <c r="AE695" s="406"/>
      <c r="AF695" s="406"/>
      <c r="AG695" s="406"/>
      <c r="AH695" s="406"/>
      <c r="AI695" s="294"/>
      <c r="AJ695" s="406"/>
      <c r="AK695" s="406"/>
      <c r="AL695" s="406"/>
      <c r="AM695" s="406"/>
      <c r="AN695" s="294"/>
      <c r="AO695" s="406"/>
      <c r="AP695" s="406"/>
      <c r="AQ695" s="406"/>
      <c r="AR695" s="406"/>
    </row>
    <row r="696">
      <c r="A696" s="294"/>
      <c r="B696" s="294"/>
      <c r="C696" s="406"/>
      <c r="D696" s="406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294"/>
      <c r="P696" s="406"/>
      <c r="Q696" s="406"/>
      <c r="R696" s="406"/>
      <c r="S696" s="406"/>
      <c r="T696" s="294"/>
      <c r="U696" s="406"/>
      <c r="V696" s="406"/>
      <c r="W696" s="406"/>
      <c r="X696" s="406"/>
      <c r="Y696" s="294"/>
      <c r="Z696" s="406"/>
      <c r="AA696" s="406"/>
      <c r="AB696" s="406"/>
      <c r="AC696" s="406"/>
      <c r="AD696" s="294"/>
      <c r="AE696" s="406"/>
      <c r="AF696" s="406"/>
      <c r="AG696" s="406"/>
      <c r="AH696" s="406"/>
      <c r="AI696" s="294"/>
      <c r="AJ696" s="406"/>
      <c r="AK696" s="406"/>
      <c r="AL696" s="406"/>
      <c r="AM696" s="406"/>
      <c r="AN696" s="294"/>
      <c r="AO696" s="406"/>
      <c r="AP696" s="406"/>
      <c r="AQ696" s="406"/>
      <c r="AR696" s="406"/>
    </row>
    <row r="697">
      <c r="A697" s="294"/>
      <c r="B697" s="294"/>
      <c r="C697" s="406"/>
      <c r="D697" s="406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294"/>
      <c r="P697" s="406"/>
      <c r="Q697" s="406"/>
      <c r="R697" s="406"/>
      <c r="S697" s="406"/>
      <c r="T697" s="294"/>
      <c r="U697" s="406"/>
      <c r="V697" s="406"/>
      <c r="W697" s="406"/>
      <c r="X697" s="406"/>
      <c r="Y697" s="294"/>
      <c r="Z697" s="406"/>
      <c r="AA697" s="406"/>
      <c r="AB697" s="406"/>
      <c r="AC697" s="406"/>
      <c r="AD697" s="294"/>
      <c r="AE697" s="406"/>
      <c r="AF697" s="406"/>
      <c r="AG697" s="406"/>
      <c r="AH697" s="406"/>
      <c r="AI697" s="294"/>
      <c r="AJ697" s="406"/>
      <c r="AK697" s="406"/>
      <c r="AL697" s="406"/>
      <c r="AM697" s="406"/>
      <c r="AN697" s="294"/>
      <c r="AO697" s="406"/>
      <c r="AP697" s="406"/>
      <c r="AQ697" s="406"/>
      <c r="AR697" s="406"/>
    </row>
  </sheetData>
  <mergeCells count="201">
    <mergeCell ref="AC12:AC15"/>
    <mergeCell ref="AC16:AC19"/>
    <mergeCell ref="AC20:AC23"/>
    <mergeCell ref="AH20:AH23"/>
    <mergeCell ref="AM12:AM15"/>
    <mergeCell ref="AM16:AM19"/>
    <mergeCell ref="AM20:AM23"/>
    <mergeCell ref="AR20:AR23"/>
    <mergeCell ref="S16:S19"/>
    <mergeCell ref="S20:S23"/>
    <mergeCell ref="X20:X23"/>
    <mergeCell ref="S12:S15"/>
    <mergeCell ref="X12:X15"/>
    <mergeCell ref="AH12:AH15"/>
    <mergeCell ref="AR12:AR15"/>
    <mergeCell ref="X16:X19"/>
    <mergeCell ref="AH16:AH19"/>
    <mergeCell ref="AR16:AR19"/>
    <mergeCell ref="AJ2:AM2"/>
    <mergeCell ref="AO2:AR2"/>
    <mergeCell ref="I2:L3"/>
    <mergeCell ref="M2:M3"/>
    <mergeCell ref="N2:N3"/>
    <mergeCell ref="P2:S2"/>
    <mergeCell ref="U2:X2"/>
    <mergeCell ref="Z2:AC2"/>
    <mergeCell ref="AE2:AH2"/>
    <mergeCell ref="C4:C7"/>
    <mergeCell ref="D4:D7"/>
    <mergeCell ref="N4:N7"/>
    <mergeCell ref="S4:S7"/>
    <mergeCell ref="X4:X7"/>
    <mergeCell ref="AC4:AC7"/>
    <mergeCell ref="AH4:AH7"/>
    <mergeCell ref="AM4:AM7"/>
    <mergeCell ref="AR4:AR7"/>
    <mergeCell ref="H2:H3"/>
    <mergeCell ref="H4:H7"/>
    <mergeCell ref="I4:I7"/>
    <mergeCell ref="J4:J7"/>
    <mergeCell ref="K4:K7"/>
    <mergeCell ref="L4:L7"/>
    <mergeCell ref="M4:M7"/>
    <mergeCell ref="M8:M11"/>
    <mergeCell ref="N8:N11"/>
    <mergeCell ref="S8:S11"/>
    <mergeCell ref="X8:X11"/>
    <mergeCell ref="AC8:AC11"/>
    <mergeCell ref="AH8:AH11"/>
    <mergeCell ref="AM8:AM11"/>
    <mergeCell ref="AR8:AR11"/>
    <mergeCell ref="C8:C11"/>
    <mergeCell ref="D8:D11"/>
    <mergeCell ref="H8:H11"/>
    <mergeCell ref="I8:I11"/>
    <mergeCell ref="J8:J11"/>
    <mergeCell ref="K8:K11"/>
    <mergeCell ref="L8:L11"/>
    <mergeCell ref="AR24:AR27"/>
    <mergeCell ref="AR28:AR31"/>
    <mergeCell ref="AR32:AR35"/>
    <mergeCell ref="M24:M27"/>
    <mergeCell ref="N24:N27"/>
    <mergeCell ref="S24:S27"/>
    <mergeCell ref="X24:X27"/>
    <mergeCell ref="AC24:AC27"/>
    <mergeCell ref="AH24:AH27"/>
    <mergeCell ref="AM24:AM27"/>
    <mergeCell ref="X28:X31"/>
    <mergeCell ref="X32:X35"/>
    <mergeCell ref="AC32:AC35"/>
    <mergeCell ref="AH32:AH35"/>
    <mergeCell ref="AM32:AM35"/>
    <mergeCell ref="K20:K23"/>
    <mergeCell ref="L20:L23"/>
    <mergeCell ref="M20:M23"/>
    <mergeCell ref="N20:N23"/>
    <mergeCell ref="S28:S31"/>
    <mergeCell ref="AC28:AC31"/>
    <mergeCell ref="S32:S35"/>
    <mergeCell ref="M12:M15"/>
    <mergeCell ref="N12:N15"/>
    <mergeCell ref="D12:D15"/>
    <mergeCell ref="E12:E15"/>
    <mergeCell ref="H12:H15"/>
    <mergeCell ref="I12:I15"/>
    <mergeCell ref="J12:J15"/>
    <mergeCell ref="K12:K15"/>
    <mergeCell ref="L12:L15"/>
    <mergeCell ref="M16:M19"/>
    <mergeCell ref="N16:N19"/>
    <mergeCell ref="C16:C19"/>
    <mergeCell ref="D16:D19"/>
    <mergeCell ref="H16:H19"/>
    <mergeCell ref="I16:I19"/>
    <mergeCell ref="J16:J19"/>
    <mergeCell ref="K16:K19"/>
    <mergeCell ref="L16:L19"/>
    <mergeCell ref="E16:E19"/>
    <mergeCell ref="C20:C23"/>
    <mergeCell ref="D20:D23"/>
    <mergeCell ref="E20:E23"/>
    <mergeCell ref="H20:H23"/>
    <mergeCell ref="I20:I23"/>
    <mergeCell ref="J20:J23"/>
    <mergeCell ref="C24:C27"/>
    <mergeCell ref="D24:D27"/>
    <mergeCell ref="H24:H27"/>
    <mergeCell ref="I24:I27"/>
    <mergeCell ref="J24:J27"/>
    <mergeCell ref="K24:K27"/>
    <mergeCell ref="L24:L27"/>
    <mergeCell ref="AH28:AH31"/>
    <mergeCell ref="AM28:AM31"/>
    <mergeCell ref="D32:D35"/>
    <mergeCell ref="C38:D40"/>
    <mergeCell ref="C42:E47"/>
    <mergeCell ref="C52:D53"/>
    <mergeCell ref="C54:D55"/>
    <mergeCell ref="C56:D57"/>
    <mergeCell ref="E38:I40"/>
    <mergeCell ref="F42:N44"/>
    <mergeCell ref="F45:N47"/>
    <mergeCell ref="C50:H51"/>
    <mergeCell ref="E52:H53"/>
    <mergeCell ref="E54:H55"/>
    <mergeCell ref="E56:H57"/>
    <mergeCell ref="C64:D64"/>
    <mergeCell ref="E64:G64"/>
    <mergeCell ref="C65:D65"/>
    <mergeCell ref="E65:G65"/>
    <mergeCell ref="C66:D66"/>
    <mergeCell ref="E66:G66"/>
    <mergeCell ref="E67:G67"/>
    <mergeCell ref="C67:D67"/>
    <mergeCell ref="C70:F70"/>
    <mergeCell ref="C71:D71"/>
    <mergeCell ref="E71:F71"/>
    <mergeCell ref="C72:D72"/>
    <mergeCell ref="E72:F72"/>
    <mergeCell ref="E73:F73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79:D79"/>
    <mergeCell ref="E81:F81"/>
    <mergeCell ref="E82:F82"/>
    <mergeCell ref="E83:F83"/>
    <mergeCell ref="E84:F84"/>
    <mergeCell ref="E74:F74"/>
    <mergeCell ref="E75:F75"/>
    <mergeCell ref="E76:F76"/>
    <mergeCell ref="E77:F77"/>
    <mergeCell ref="E78:F78"/>
    <mergeCell ref="E79:F79"/>
    <mergeCell ref="E80:F80"/>
    <mergeCell ref="C2:C3"/>
    <mergeCell ref="C12:C15"/>
    <mergeCell ref="K28:K31"/>
    <mergeCell ref="L28:L31"/>
    <mergeCell ref="M28:M31"/>
    <mergeCell ref="N28:N31"/>
    <mergeCell ref="E24:E27"/>
    <mergeCell ref="C28:C31"/>
    <mergeCell ref="D28:D31"/>
    <mergeCell ref="E28:E31"/>
    <mergeCell ref="H28:H31"/>
    <mergeCell ref="I28:I31"/>
    <mergeCell ref="J28:J31"/>
    <mergeCell ref="B2:B35"/>
    <mergeCell ref="D2:D3"/>
    <mergeCell ref="E2:E3"/>
    <mergeCell ref="F2:F3"/>
    <mergeCell ref="G2:G3"/>
    <mergeCell ref="E4:E7"/>
    <mergeCell ref="E8:E11"/>
    <mergeCell ref="E32:E35"/>
    <mergeCell ref="M32:M35"/>
    <mergeCell ref="N32:N35"/>
    <mergeCell ref="C32:C35"/>
    <mergeCell ref="H32:H35"/>
    <mergeCell ref="I32:I35"/>
    <mergeCell ref="J32:J35"/>
    <mergeCell ref="K32:K35"/>
    <mergeCell ref="L32:L35"/>
    <mergeCell ref="C37:I37"/>
    <mergeCell ref="C60:G60"/>
    <mergeCell ref="C61:D61"/>
    <mergeCell ref="E61:G61"/>
    <mergeCell ref="C62:D62"/>
    <mergeCell ref="E62:G62"/>
    <mergeCell ref="C63:D63"/>
    <mergeCell ref="E63:G63"/>
  </mergeCells>
  <conditionalFormatting sqref="A1">
    <cfRule type="notContainsBlanks" dxfId="0" priority="1">
      <formula>LEN(TRIM(A1))&gt;0</formula>
    </cfRule>
  </conditionalFormatting>
  <dataValidations>
    <dataValidation type="list" allowBlank="1" showDropDown="1" showErrorMessage="1" sqref="M4 M8 M12 M16 M20 M24 M28 M32">
      <formula1>"PECS,DORSAUX,QUADS,ISCHIOS,ISCHIOS / FESSIERS,FESSIERS,HAUT DOS / DELT. POST.,DELT. MOY.,DELT. ANT. ,BICEPS,TRICEPS,ADDUC.,ABDOS,DELT. ANT. / MOY.,FESSIERS / ISCHIOS,MOLLETS,HAUT DOS / DORSAUX,QUADS / FESSIERS,DELT. POST."</formula1>
    </dataValidation>
    <dataValidation type="list" allowBlank="1" showDropDown="1" showErrorMessage="1" sqref="E61:E67">
      <formula1>"Push 1,Push 2,Pull 1,Pull 2,Legs 1,Legs 2,Upper 1,Upper 2,Lower 1,Lower 2,Full 1,Full 2,Ischios / Fessiers,REPOS,Quads + Push,Ischios + Pull"</formula1>
    </dataValidation>
    <dataValidation type="list" allowBlank="1" showDropDown="1" showErrorMessage="1" sqref="D4 D8 D12 D16 D20 D24 D28 D32">
      <formula1>DATABASETRAINING!$B$4:$B$300</formula1>
    </dataValidation>
    <dataValidation type="list" allowBlank="1" showDropDown="1" showErrorMessage="1" sqref="G4:G35">
      <formula1>"5-8,9-12,13-16"</formula1>
    </dataValidation>
    <dataValidation type="list" allowBlank="1" showDropDown="1" showErrorMessage="1" sqref="H4 H8 H12 H16 H20 H24 H28 H32">
      <formula1>"60-90,90-120,120-150,150-180,180+"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8.63"/>
    <col customWidth="1" min="3" max="3" width="20.25"/>
    <col customWidth="1" min="4" max="4" width="23.75"/>
  </cols>
  <sheetData>
    <row r="1">
      <c r="A1" s="368"/>
      <c r="B1" s="373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>
      <c r="A2" s="368"/>
      <c r="B2" s="374"/>
      <c r="C2" s="375"/>
      <c r="D2" s="375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</row>
    <row r="3">
      <c r="A3" s="376"/>
      <c r="B3" s="377" t="s">
        <v>187</v>
      </c>
      <c r="C3" s="378" t="s">
        <v>193</v>
      </c>
      <c r="D3" s="379" t="s">
        <v>50</v>
      </c>
      <c r="E3" s="367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</row>
    <row r="4" ht="57.75" customHeight="1">
      <c r="A4" s="376"/>
      <c r="B4" s="380" t="s">
        <v>234</v>
      </c>
      <c r="C4" s="381" t="s">
        <v>235</v>
      </c>
      <c r="D4" s="382"/>
      <c r="E4" s="367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</row>
    <row r="5" ht="57.75" customHeight="1">
      <c r="A5" s="376"/>
      <c r="B5" s="380" t="s">
        <v>236</v>
      </c>
      <c r="C5" s="381" t="s">
        <v>235</v>
      </c>
      <c r="D5" s="382"/>
      <c r="E5" s="367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</row>
    <row r="6" ht="57.75" customHeight="1">
      <c r="A6" s="376"/>
      <c r="B6" s="380" t="s">
        <v>237</v>
      </c>
      <c r="C6" s="381" t="s">
        <v>235</v>
      </c>
      <c r="D6" s="382"/>
      <c r="E6" s="367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</row>
    <row r="7" ht="57.75" customHeight="1">
      <c r="A7" s="376"/>
      <c r="B7" s="380" t="s">
        <v>238</v>
      </c>
      <c r="C7" s="381" t="s">
        <v>235</v>
      </c>
      <c r="D7" s="382"/>
      <c r="E7" s="367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</row>
    <row r="8" ht="57.75" customHeight="1">
      <c r="A8" s="376"/>
      <c r="B8" s="380" t="s">
        <v>239</v>
      </c>
      <c r="C8" s="381" t="s">
        <v>235</v>
      </c>
      <c r="D8" s="382"/>
      <c r="E8" s="367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</row>
    <row r="9" ht="57.75" customHeight="1">
      <c r="A9" s="376"/>
      <c r="B9" s="380" t="s">
        <v>240</v>
      </c>
      <c r="C9" s="381" t="s">
        <v>235</v>
      </c>
      <c r="D9" s="382"/>
      <c r="E9" s="367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</row>
    <row r="10" ht="57.75" customHeight="1">
      <c r="A10" s="376"/>
      <c r="B10" s="380" t="s">
        <v>241</v>
      </c>
      <c r="C10" s="381" t="s">
        <v>235</v>
      </c>
      <c r="D10" s="382"/>
      <c r="E10" s="367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</row>
    <row r="11" ht="57.75" customHeight="1">
      <c r="A11" s="376"/>
      <c r="B11" s="380" t="s">
        <v>242</v>
      </c>
      <c r="C11" s="381" t="s">
        <v>235</v>
      </c>
      <c r="D11" s="382"/>
      <c r="E11" s="367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</row>
    <row r="12" ht="57.75" customHeight="1">
      <c r="A12" s="376"/>
      <c r="B12" s="380" t="s">
        <v>243</v>
      </c>
      <c r="C12" s="381" t="s">
        <v>235</v>
      </c>
      <c r="D12" s="382"/>
      <c r="E12" s="367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</row>
    <row r="13" ht="57.75" customHeight="1">
      <c r="A13" s="376"/>
      <c r="B13" s="380" t="s">
        <v>244</v>
      </c>
      <c r="C13" s="381" t="s">
        <v>235</v>
      </c>
      <c r="D13" s="382"/>
      <c r="E13" s="367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</row>
    <row r="14" ht="57.75" customHeight="1">
      <c r="A14" s="376"/>
      <c r="B14" s="380" t="s">
        <v>245</v>
      </c>
      <c r="C14" s="381" t="s">
        <v>235</v>
      </c>
      <c r="D14" s="382"/>
      <c r="E14" s="367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</row>
    <row r="15" ht="57.75" customHeight="1">
      <c r="A15" s="376"/>
      <c r="B15" s="380" t="s">
        <v>246</v>
      </c>
      <c r="C15" s="381" t="s">
        <v>235</v>
      </c>
      <c r="D15" s="382"/>
      <c r="E15" s="367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</row>
    <row r="16" ht="57.75" customHeight="1">
      <c r="A16" s="376"/>
      <c r="B16" s="380" t="s">
        <v>247</v>
      </c>
      <c r="C16" s="381" t="s">
        <v>235</v>
      </c>
      <c r="D16" s="382"/>
      <c r="E16" s="367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</row>
    <row r="17" ht="57.75" customHeight="1">
      <c r="A17" s="376"/>
      <c r="B17" s="380" t="s">
        <v>248</v>
      </c>
      <c r="C17" s="381" t="s">
        <v>235</v>
      </c>
      <c r="D17" s="382"/>
      <c r="E17" s="367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</row>
    <row r="18" ht="57.75" customHeight="1">
      <c r="A18" s="376"/>
      <c r="B18" s="380" t="s">
        <v>249</v>
      </c>
      <c r="C18" s="381" t="s">
        <v>235</v>
      </c>
      <c r="D18" s="382"/>
      <c r="E18" s="367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</row>
    <row r="19" ht="57.75" customHeight="1">
      <c r="A19" s="376"/>
      <c r="B19" s="380" t="s">
        <v>250</v>
      </c>
      <c r="C19" s="381" t="s">
        <v>251</v>
      </c>
      <c r="D19" s="382"/>
      <c r="E19" s="367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</row>
    <row r="20" ht="57.75" customHeight="1">
      <c r="A20" s="376"/>
      <c r="B20" s="380" t="s">
        <v>252</v>
      </c>
      <c r="C20" s="381" t="s">
        <v>251</v>
      </c>
      <c r="D20" s="382"/>
      <c r="E20" s="367"/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</row>
    <row r="21" ht="57.75" customHeight="1">
      <c r="A21" s="376"/>
      <c r="B21" s="380" t="s">
        <v>253</v>
      </c>
      <c r="C21" s="381" t="s">
        <v>251</v>
      </c>
      <c r="D21" s="382"/>
      <c r="E21" s="367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</row>
    <row r="22" ht="57.75" customHeight="1">
      <c r="A22" s="376"/>
      <c r="B22" s="380" t="s">
        <v>254</v>
      </c>
      <c r="C22" s="381" t="s">
        <v>251</v>
      </c>
      <c r="D22" s="382"/>
      <c r="E22" s="367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</row>
    <row r="23" ht="57.75" customHeight="1">
      <c r="A23" s="376"/>
      <c r="B23" s="380" t="s">
        <v>255</v>
      </c>
      <c r="C23" s="381" t="s">
        <v>256</v>
      </c>
      <c r="D23" s="382"/>
      <c r="E23" s="367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</row>
    <row r="24" ht="57.75" customHeight="1">
      <c r="A24" s="376"/>
      <c r="B24" s="380" t="s">
        <v>257</v>
      </c>
      <c r="C24" s="381" t="s">
        <v>256</v>
      </c>
      <c r="D24" s="382"/>
      <c r="E24" s="367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</row>
    <row r="25" ht="57.75" customHeight="1">
      <c r="A25" s="376"/>
      <c r="B25" s="380" t="s">
        <v>258</v>
      </c>
      <c r="C25" s="381" t="s">
        <v>251</v>
      </c>
      <c r="D25" s="382"/>
      <c r="E25" s="367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ht="57.75" customHeight="1">
      <c r="A26" s="376"/>
      <c r="B26" s="380" t="s">
        <v>259</v>
      </c>
      <c r="C26" s="381" t="s">
        <v>256</v>
      </c>
      <c r="D26" s="382"/>
      <c r="E26" s="367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ht="57.75" customHeight="1">
      <c r="A27" s="376"/>
      <c r="B27" s="380" t="s">
        <v>260</v>
      </c>
      <c r="C27" s="381" t="s">
        <v>256</v>
      </c>
      <c r="D27" s="382"/>
      <c r="E27" s="367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ht="57.75" customHeight="1">
      <c r="A28" s="376"/>
      <c r="B28" s="380" t="s">
        <v>261</v>
      </c>
      <c r="C28" s="381" t="s">
        <v>251</v>
      </c>
      <c r="D28" s="382"/>
      <c r="E28" s="367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ht="57.75" customHeight="1">
      <c r="A29" s="376"/>
      <c r="B29" s="380" t="s">
        <v>262</v>
      </c>
      <c r="C29" s="381" t="s">
        <v>251</v>
      </c>
      <c r="D29" s="382"/>
      <c r="E29" s="367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</row>
    <row r="30" ht="57.75" customHeight="1">
      <c r="A30" s="376"/>
      <c r="B30" s="380" t="s">
        <v>263</v>
      </c>
      <c r="C30" s="381" t="s">
        <v>264</v>
      </c>
      <c r="D30" s="382"/>
      <c r="E30" s="367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ht="57.75" customHeight="1">
      <c r="A31" s="376"/>
      <c r="B31" s="380" t="s">
        <v>265</v>
      </c>
      <c r="C31" s="381" t="s">
        <v>256</v>
      </c>
      <c r="D31" s="382"/>
      <c r="E31" s="367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</row>
    <row r="32" ht="57.75" customHeight="1">
      <c r="A32" s="376"/>
      <c r="B32" s="380" t="s">
        <v>266</v>
      </c>
      <c r="C32" s="381" t="s">
        <v>251</v>
      </c>
      <c r="D32" s="382"/>
      <c r="E32" s="367"/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ht="57.75" customHeight="1">
      <c r="A33" s="376"/>
      <c r="B33" s="380" t="s">
        <v>267</v>
      </c>
      <c r="C33" s="381" t="s">
        <v>264</v>
      </c>
      <c r="D33" s="382"/>
      <c r="E33" s="367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</row>
    <row r="34" ht="57.75" customHeight="1">
      <c r="A34" s="376"/>
      <c r="B34" s="380" t="s">
        <v>268</v>
      </c>
      <c r="C34" s="383" t="s">
        <v>256</v>
      </c>
      <c r="D34" s="384"/>
      <c r="E34" s="367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ht="57.75" customHeight="1">
      <c r="A35" s="376"/>
      <c r="B35" s="380" t="s">
        <v>269</v>
      </c>
      <c r="C35" s="381" t="s">
        <v>270</v>
      </c>
      <c r="D35" s="382"/>
      <c r="E35" s="367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</row>
    <row r="36" ht="57.75" customHeight="1">
      <c r="A36" s="376"/>
      <c r="B36" s="380" t="s">
        <v>271</v>
      </c>
      <c r="C36" s="381" t="s">
        <v>270</v>
      </c>
      <c r="D36" s="382"/>
      <c r="E36" s="367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</row>
    <row r="37" ht="57.75" customHeight="1">
      <c r="A37" s="376"/>
      <c r="B37" s="380" t="s">
        <v>272</v>
      </c>
      <c r="C37" s="381" t="s">
        <v>273</v>
      </c>
      <c r="D37" s="382"/>
      <c r="E37" s="367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ht="57.75" customHeight="1">
      <c r="A38" s="376"/>
      <c r="B38" s="380" t="s">
        <v>274</v>
      </c>
      <c r="C38" s="381" t="s">
        <v>273</v>
      </c>
      <c r="D38" s="382"/>
      <c r="E38" s="367"/>
      <c r="F38" s="368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</row>
    <row r="39" ht="57.75" customHeight="1">
      <c r="A39" s="376"/>
      <c r="B39" s="380" t="s">
        <v>275</v>
      </c>
      <c r="C39" s="381" t="s">
        <v>273</v>
      </c>
      <c r="D39" s="382"/>
      <c r="E39" s="367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ht="57.75" customHeight="1">
      <c r="A40" s="376"/>
      <c r="B40" s="380" t="s">
        <v>276</v>
      </c>
      <c r="C40" s="381" t="s">
        <v>277</v>
      </c>
      <c r="D40" s="382"/>
      <c r="E40" s="367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ht="57.75" customHeight="1">
      <c r="A41" s="376"/>
      <c r="B41" s="380" t="s">
        <v>278</v>
      </c>
      <c r="C41" s="381" t="s">
        <v>277</v>
      </c>
      <c r="D41" s="382"/>
      <c r="E41" s="367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</row>
    <row r="42" ht="57.75" customHeight="1">
      <c r="A42" s="376"/>
      <c r="B42" s="380" t="s">
        <v>279</v>
      </c>
      <c r="C42" s="381" t="s">
        <v>280</v>
      </c>
      <c r="D42" s="382"/>
      <c r="E42" s="367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ht="57.75" customHeight="1">
      <c r="A43" s="376"/>
      <c r="B43" s="380" t="s">
        <v>281</v>
      </c>
      <c r="C43" s="381" t="s">
        <v>280</v>
      </c>
      <c r="D43" s="382"/>
      <c r="E43" s="367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ht="57.75" customHeight="1">
      <c r="A44" s="376"/>
      <c r="B44" s="380" t="s">
        <v>282</v>
      </c>
      <c r="C44" s="381" t="s">
        <v>280</v>
      </c>
      <c r="D44" s="382"/>
      <c r="E44" s="367"/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ht="57.75" customHeight="1">
      <c r="A45" s="376"/>
      <c r="B45" s="380" t="s">
        <v>283</v>
      </c>
      <c r="C45" s="381" t="s">
        <v>273</v>
      </c>
      <c r="D45" s="382"/>
      <c r="E45" s="367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</row>
    <row r="46" ht="57.75" customHeight="1">
      <c r="A46" s="376"/>
      <c r="B46" s="380" t="s">
        <v>284</v>
      </c>
      <c r="C46" s="381" t="s">
        <v>285</v>
      </c>
      <c r="D46" s="382"/>
      <c r="E46" s="367"/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ht="57.75" customHeight="1">
      <c r="A47" s="376"/>
      <c r="B47" s="380" t="s">
        <v>286</v>
      </c>
      <c r="C47" s="381" t="s">
        <v>285</v>
      </c>
      <c r="D47" s="382"/>
      <c r="E47" s="367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ht="57.75" customHeight="1">
      <c r="A48" s="376"/>
      <c r="B48" s="380" t="s">
        <v>287</v>
      </c>
      <c r="C48" s="381" t="s">
        <v>285</v>
      </c>
      <c r="D48" s="382"/>
      <c r="E48" s="367"/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</row>
    <row r="49" ht="57.75" customHeight="1">
      <c r="A49" s="376"/>
      <c r="B49" s="380" t="s">
        <v>288</v>
      </c>
      <c r="C49" s="381" t="s">
        <v>285</v>
      </c>
      <c r="D49" s="382"/>
      <c r="E49" s="367"/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ht="57.75" customHeight="1">
      <c r="A50" s="376"/>
      <c r="B50" s="380" t="s">
        <v>289</v>
      </c>
      <c r="C50" s="381" t="s">
        <v>285</v>
      </c>
      <c r="D50" s="382"/>
      <c r="E50" s="367"/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ht="57.75" customHeight="1">
      <c r="A51" s="376"/>
      <c r="B51" s="380" t="s">
        <v>290</v>
      </c>
      <c r="C51" s="381" t="s">
        <v>291</v>
      </c>
      <c r="D51" s="382"/>
      <c r="E51" s="367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ht="57.75" customHeight="1">
      <c r="A52" s="376"/>
      <c r="B52" s="380" t="s">
        <v>292</v>
      </c>
      <c r="C52" s="381" t="s">
        <v>291</v>
      </c>
      <c r="D52" s="382"/>
      <c r="E52" s="367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</row>
    <row r="53" ht="57.75" customHeight="1">
      <c r="A53" s="376"/>
      <c r="B53" s="380" t="s">
        <v>293</v>
      </c>
      <c r="C53" s="381" t="s">
        <v>291</v>
      </c>
      <c r="D53" s="382"/>
      <c r="E53" s="367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ht="57.75" customHeight="1">
      <c r="A54" s="376"/>
      <c r="B54" s="380" t="s">
        <v>294</v>
      </c>
      <c r="C54" s="381" t="s">
        <v>291</v>
      </c>
      <c r="D54" s="382"/>
      <c r="E54" s="367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ht="57.75" customHeight="1">
      <c r="A55" s="376"/>
      <c r="B55" s="380" t="s">
        <v>295</v>
      </c>
      <c r="C55" s="381" t="s">
        <v>291</v>
      </c>
      <c r="D55" s="382"/>
      <c r="E55" s="367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ht="57.75" customHeight="1">
      <c r="A56" s="376"/>
      <c r="B56" s="380" t="s">
        <v>296</v>
      </c>
      <c r="C56" s="381" t="s">
        <v>291</v>
      </c>
      <c r="D56" s="382"/>
      <c r="E56" s="367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</row>
    <row r="57" ht="57.75" customHeight="1">
      <c r="A57" s="376"/>
      <c r="B57" s="380" t="s">
        <v>297</v>
      </c>
      <c r="C57" s="381" t="s">
        <v>298</v>
      </c>
      <c r="D57" s="382"/>
      <c r="E57" s="367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ht="57.75" customHeight="1">
      <c r="A58" s="376"/>
      <c r="B58" s="380" t="s">
        <v>299</v>
      </c>
      <c r="C58" s="381" t="s">
        <v>298</v>
      </c>
      <c r="D58" s="382"/>
      <c r="E58" s="367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ht="57.75" customHeight="1">
      <c r="A59" s="376"/>
      <c r="B59" s="380" t="s">
        <v>300</v>
      </c>
      <c r="C59" s="381" t="s">
        <v>298</v>
      </c>
      <c r="D59" s="382"/>
      <c r="E59" s="367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</row>
    <row r="60" ht="57.75" customHeight="1">
      <c r="A60" s="376"/>
      <c r="B60" s="380" t="s">
        <v>301</v>
      </c>
      <c r="C60" s="383" t="s">
        <v>302</v>
      </c>
      <c r="D60" s="384"/>
      <c r="E60" s="367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ht="57.75" customHeight="1">
      <c r="A61" s="376"/>
      <c r="B61" s="380" t="s">
        <v>303</v>
      </c>
      <c r="C61" s="383" t="s">
        <v>298</v>
      </c>
      <c r="D61" s="384"/>
      <c r="E61" s="367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ht="57.75" customHeight="1">
      <c r="A62" s="376"/>
      <c r="B62" s="380" t="s">
        <v>304</v>
      </c>
      <c r="C62" s="383" t="s">
        <v>302</v>
      </c>
      <c r="D62" s="384"/>
      <c r="E62" s="367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ht="57.75" customHeight="1">
      <c r="A63" s="376"/>
      <c r="B63" s="380" t="s">
        <v>305</v>
      </c>
      <c r="C63" s="381" t="s">
        <v>298</v>
      </c>
      <c r="D63" s="382"/>
      <c r="E63" s="367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ht="57.75" customHeight="1">
      <c r="A64" s="376"/>
      <c r="B64" s="380" t="s">
        <v>306</v>
      </c>
      <c r="C64" s="381" t="s">
        <v>302</v>
      </c>
      <c r="D64" s="382"/>
      <c r="E64" s="367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</row>
    <row r="65" ht="57.75" customHeight="1">
      <c r="A65" s="376"/>
      <c r="B65" s="380" t="s">
        <v>307</v>
      </c>
      <c r="C65" s="381" t="s">
        <v>298</v>
      </c>
      <c r="D65" s="382"/>
      <c r="E65" s="367"/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</row>
    <row r="66" ht="57.75" customHeight="1">
      <c r="A66" s="376"/>
      <c r="B66" s="380" t="s">
        <v>308</v>
      </c>
      <c r="C66" s="381" t="s">
        <v>302</v>
      </c>
      <c r="D66" s="382"/>
      <c r="E66" s="367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</row>
    <row r="67" ht="57.75" customHeight="1">
      <c r="A67" s="376"/>
      <c r="B67" s="380" t="s">
        <v>309</v>
      </c>
      <c r="C67" s="381" t="s">
        <v>298</v>
      </c>
      <c r="D67" s="382"/>
      <c r="E67" s="367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ht="57.75" customHeight="1">
      <c r="A68" s="376"/>
      <c r="B68" s="380" t="s">
        <v>310</v>
      </c>
      <c r="C68" s="381" t="s">
        <v>302</v>
      </c>
      <c r="D68" s="382"/>
      <c r="E68" s="367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ht="57.75" customHeight="1">
      <c r="A69" s="376"/>
      <c r="B69" s="380" t="s">
        <v>311</v>
      </c>
      <c r="C69" s="381" t="s">
        <v>302</v>
      </c>
      <c r="D69" s="382"/>
      <c r="E69" s="367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ht="57.75" customHeight="1">
      <c r="A70" s="376"/>
      <c r="B70" s="380" t="s">
        <v>312</v>
      </c>
      <c r="C70" s="381" t="s">
        <v>302</v>
      </c>
      <c r="D70" s="382"/>
      <c r="E70" s="367"/>
      <c r="F70" s="368"/>
      <c r="G70" s="368"/>
      <c r="H70" s="368"/>
      <c r="I70" s="368"/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ht="57.75" customHeight="1">
      <c r="A71" s="376"/>
      <c r="B71" s="380" t="s">
        <v>313</v>
      </c>
      <c r="C71" s="381" t="s">
        <v>298</v>
      </c>
      <c r="D71" s="382"/>
      <c r="E71" s="367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ht="57.75" customHeight="1">
      <c r="A72" s="376"/>
      <c r="B72" s="380" t="s">
        <v>314</v>
      </c>
      <c r="C72" s="381" t="s">
        <v>302</v>
      </c>
      <c r="D72" s="382"/>
      <c r="E72" s="367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ht="57.75" customHeight="1">
      <c r="A73" s="376"/>
      <c r="B73" s="380" t="s">
        <v>315</v>
      </c>
      <c r="C73" s="381" t="s">
        <v>298</v>
      </c>
      <c r="D73" s="382"/>
      <c r="E73" s="367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ht="57.75" customHeight="1">
      <c r="A74" s="376"/>
      <c r="B74" s="380" t="s">
        <v>316</v>
      </c>
      <c r="C74" s="381" t="s">
        <v>317</v>
      </c>
      <c r="D74" s="382"/>
      <c r="E74" s="367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ht="57.75" customHeight="1">
      <c r="A75" s="376"/>
      <c r="B75" s="380" t="s">
        <v>318</v>
      </c>
      <c r="C75" s="381" t="s">
        <v>319</v>
      </c>
      <c r="D75" s="382"/>
      <c r="E75" s="367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ht="57.75" customHeight="1">
      <c r="A76" s="376"/>
      <c r="B76" s="380" t="s">
        <v>320</v>
      </c>
      <c r="C76" s="381" t="s">
        <v>321</v>
      </c>
      <c r="D76" s="382"/>
      <c r="E76" s="367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</row>
    <row r="77" ht="57.75" customHeight="1">
      <c r="A77" s="376"/>
      <c r="B77" s="380" t="s">
        <v>322</v>
      </c>
      <c r="C77" s="381" t="s">
        <v>321</v>
      </c>
      <c r="D77" s="382"/>
      <c r="E77" s="367"/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ht="57.75" customHeight="1">
      <c r="A78" s="376"/>
      <c r="B78" s="380" t="s">
        <v>323</v>
      </c>
      <c r="C78" s="381" t="s">
        <v>321</v>
      </c>
      <c r="D78" s="382"/>
      <c r="E78" s="367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ht="57.75" customHeight="1">
      <c r="A79" s="376"/>
      <c r="B79" s="380" t="s">
        <v>324</v>
      </c>
      <c r="C79" s="381" t="s">
        <v>321</v>
      </c>
      <c r="D79" s="382"/>
      <c r="E79" s="367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ht="57.75" customHeight="1">
      <c r="A80" s="376"/>
      <c r="B80" s="380" t="s">
        <v>325</v>
      </c>
      <c r="C80" s="381" t="s">
        <v>321</v>
      </c>
      <c r="D80" s="382"/>
      <c r="E80" s="367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ht="57.75" customHeight="1">
      <c r="A81" s="376"/>
      <c r="B81" s="380" t="s">
        <v>326</v>
      </c>
      <c r="C81" s="381" t="s">
        <v>321</v>
      </c>
      <c r="D81" s="382"/>
      <c r="E81" s="367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ht="57.75" customHeight="1">
      <c r="A82" s="376"/>
      <c r="B82" s="380" t="s">
        <v>327</v>
      </c>
      <c r="C82" s="381" t="s">
        <v>321</v>
      </c>
      <c r="D82" s="382"/>
      <c r="E82" s="367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ht="57.75" customHeight="1">
      <c r="A83" s="376"/>
      <c r="B83" s="380" t="s">
        <v>328</v>
      </c>
      <c r="C83" s="381" t="s">
        <v>321</v>
      </c>
      <c r="D83" s="382"/>
      <c r="E83" s="367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ht="57.75" customHeight="1">
      <c r="A84" s="376"/>
      <c r="B84" s="380" t="s">
        <v>329</v>
      </c>
      <c r="C84" s="381" t="s">
        <v>321</v>
      </c>
      <c r="D84" s="382"/>
      <c r="E84" s="367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ht="57.75" customHeight="1">
      <c r="A85" s="376"/>
      <c r="B85" s="380" t="s">
        <v>330</v>
      </c>
      <c r="C85" s="381" t="s">
        <v>298</v>
      </c>
      <c r="D85" s="382"/>
      <c r="E85" s="367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ht="57.75" customHeight="1">
      <c r="A86" s="376"/>
      <c r="B86" s="380" t="s">
        <v>331</v>
      </c>
      <c r="C86" s="381" t="s">
        <v>298</v>
      </c>
      <c r="D86" s="382"/>
      <c r="E86" s="367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ht="57.75" customHeight="1">
      <c r="A87" s="376"/>
      <c r="B87" s="380" t="s">
        <v>332</v>
      </c>
      <c r="C87" s="381" t="s">
        <v>298</v>
      </c>
      <c r="D87" s="382"/>
      <c r="E87" s="367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ht="57.75" customHeight="1">
      <c r="A88" s="376"/>
      <c r="B88" s="380" t="s">
        <v>333</v>
      </c>
      <c r="C88" s="381" t="s">
        <v>302</v>
      </c>
      <c r="D88" s="382"/>
      <c r="E88" s="367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ht="57.75" customHeight="1">
      <c r="A89" s="376"/>
      <c r="B89" s="380" t="s">
        <v>334</v>
      </c>
      <c r="C89" s="381" t="s">
        <v>298</v>
      </c>
      <c r="D89" s="382"/>
      <c r="E89" s="367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ht="57.75" customHeight="1">
      <c r="A90" s="376"/>
      <c r="B90" s="380" t="s">
        <v>335</v>
      </c>
      <c r="C90" s="381" t="s">
        <v>302</v>
      </c>
      <c r="D90" s="382"/>
      <c r="E90" s="367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ht="57.75" customHeight="1">
      <c r="A91" s="376"/>
      <c r="B91" s="380" t="s">
        <v>336</v>
      </c>
      <c r="C91" s="381" t="s">
        <v>337</v>
      </c>
      <c r="D91" s="382"/>
      <c r="E91" s="367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ht="57.75" customHeight="1">
      <c r="A92" s="376"/>
      <c r="B92" s="380" t="s">
        <v>338</v>
      </c>
      <c r="C92" s="381" t="s">
        <v>337</v>
      </c>
      <c r="D92" s="382"/>
      <c r="E92" s="367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ht="57.75" customHeight="1">
      <c r="A93" s="376"/>
      <c r="B93" s="380" t="s">
        <v>339</v>
      </c>
      <c r="C93" s="381" t="s">
        <v>298</v>
      </c>
      <c r="D93" s="382"/>
      <c r="E93" s="367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ht="57.75" customHeight="1">
      <c r="A94" s="376"/>
      <c r="B94" s="380" t="s">
        <v>340</v>
      </c>
      <c r="C94" s="381" t="s">
        <v>341</v>
      </c>
      <c r="D94" s="382"/>
      <c r="E94" s="367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ht="57.75" customHeight="1">
      <c r="A95" s="376"/>
      <c r="B95" s="380" t="s">
        <v>342</v>
      </c>
      <c r="C95" s="381" t="s">
        <v>302</v>
      </c>
      <c r="D95" s="382"/>
      <c r="E95" s="367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ht="57.75" customHeight="1">
      <c r="A96" s="376"/>
      <c r="B96" s="380" t="s">
        <v>343</v>
      </c>
      <c r="C96" s="381" t="s">
        <v>251</v>
      </c>
      <c r="D96" s="382"/>
      <c r="E96" s="367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ht="57.75" customHeight="1">
      <c r="A97" s="376"/>
      <c r="B97" s="380" t="s">
        <v>344</v>
      </c>
      <c r="C97" s="381" t="s">
        <v>345</v>
      </c>
      <c r="D97" s="382"/>
      <c r="E97" s="367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ht="57.75" customHeight="1">
      <c r="A98" s="376"/>
      <c r="B98" s="380" t="s">
        <v>346</v>
      </c>
      <c r="C98" s="381" t="s">
        <v>345</v>
      </c>
      <c r="D98" s="382"/>
      <c r="E98" s="367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ht="57.75" customHeight="1">
      <c r="A99" s="376"/>
      <c r="B99" s="380" t="s">
        <v>347</v>
      </c>
      <c r="C99" s="381" t="s">
        <v>302</v>
      </c>
      <c r="D99" s="382"/>
      <c r="E99" s="367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ht="57.75" customHeight="1">
      <c r="A100" s="376"/>
      <c r="B100" s="380" t="s">
        <v>348</v>
      </c>
      <c r="C100" s="381" t="s">
        <v>302</v>
      </c>
      <c r="D100" s="382"/>
      <c r="E100" s="367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ht="57.75" customHeight="1">
      <c r="A101" s="376"/>
      <c r="B101" s="380" t="s">
        <v>349</v>
      </c>
      <c r="C101" s="381" t="s">
        <v>235</v>
      </c>
      <c r="D101" s="382"/>
      <c r="E101" s="367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ht="57.75" customHeight="1">
      <c r="A102" s="376"/>
      <c r="B102" s="380" t="s">
        <v>350</v>
      </c>
      <c r="C102" s="381" t="s">
        <v>302</v>
      </c>
      <c r="D102" s="382"/>
      <c r="E102" s="367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ht="57.75" customHeight="1">
      <c r="A103" s="376"/>
      <c r="B103" s="380" t="s">
        <v>351</v>
      </c>
      <c r="C103" s="381" t="s">
        <v>251</v>
      </c>
      <c r="D103" s="382"/>
      <c r="E103" s="367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ht="57.75" customHeight="1">
      <c r="A104" s="376"/>
      <c r="B104" s="380" t="s">
        <v>352</v>
      </c>
      <c r="C104" s="381" t="s">
        <v>251</v>
      </c>
      <c r="D104" s="382"/>
      <c r="E104" s="367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ht="57.75" customHeight="1">
      <c r="A105" s="376"/>
      <c r="B105" s="380" t="s">
        <v>353</v>
      </c>
      <c r="C105" s="381" t="s">
        <v>321</v>
      </c>
      <c r="D105" s="382"/>
      <c r="E105" s="367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ht="57.75" customHeight="1">
      <c r="A106" s="376"/>
      <c r="B106" s="380" t="s">
        <v>354</v>
      </c>
      <c r="C106" s="381" t="s">
        <v>251</v>
      </c>
      <c r="D106" s="382"/>
      <c r="E106" s="367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ht="57.75" customHeight="1">
      <c r="A107" s="376"/>
      <c r="B107" s="380" t="s">
        <v>355</v>
      </c>
      <c r="C107" s="381" t="s">
        <v>251</v>
      </c>
      <c r="D107" s="382"/>
      <c r="E107" s="367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ht="57.75" customHeight="1">
      <c r="A108" s="376"/>
      <c r="B108" s="380" t="s">
        <v>356</v>
      </c>
      <c r="C108" s="381" t="s">
        <v>270</v>
      </c>
      <c r="D108" s="382"/>
      <c r="E108" s="367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ht="57.75" customHeight="1">
      <c r="A109" s="376"/>
      <c r="B109" s="380" t="s">
        <v>357</v>
      </c>
      <c r="C109" s="381" t="s">
        <v>302</v>
      </c>
      <c r="D109" s="382"/>
      <c r="E109" s="367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ht="57.75" customHeight="1">
      <c r="A110" s="376"/>
      <c r="B110" s="380" t="s">
        <v>358</v>
      </c>
      <c r="C110" s="381" t="s">
        <v>302</v>
      </c>
      <c r="D110" s="382"/>
      <c r="E110" s="367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ht="57.75" customHeight="1">
      <c r="A111" s="376"/>
      <c r="B111" s="380" t="s">
        <v>359</v>
      </c>
      <c r="C111" s="381" t="s">
        <v>273</v>
      </c>
      <c r="D111" s="382"/>
      <c r="E111" s="367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ht="57.75" customHeight="1">
      <c r="A112" s="376"/>
      <c r="B112" s="380" t="s">
        <v>360</v>
      </c>
      <c r="C112" s="381" t="s">
        <v>251</v>
      </c>
      <c r="D112" s="382"/>
      <c r="E112" s="367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ht="57.75" customHeight="1">
      <c r="A113" s="376"/>
      <c r="B113" s="380" t="s">
        <v>361</v>
      </c>
      <c r="C113" s="381" t="s">
        <v>362</v>
      </c>
      <c r="D113" s="382"/>
      <c r="E113" s="367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ht="57.75" customHeight="1">
      <c r="A114" s="376"/>
      <c r="B114" s="380" t="s">
        <v>363</v>
      </c>
      <c r="C114" s="381" t="s">
        <v>362</v>
      </c>
      <c r="D114" s="382"/>
      <c r="E114" s="367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ht="57.75" customHeight="1">
      <c r="A115" s="376"/>
      <c r="B115" s="380" t="s">
        <v>364</v>
      </c>
      <c r="C115" s="381" t="s">
        <v>277</v>
      </c>
      <c r="D115" s="382"/>
      <c r="E115" s="367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ht="57.75" customHeight="1">
      <c r="A116" s="376"/>
      <c r="B116" s="380" t="s">
        <v>365</v>
      </c>
      <c r="C116" s="381" t="s">
        <v>302</v>
      </c>
      <c r="D116" s="382"/>
      <c r="E116" s="367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ht="57.75" customHeight="1">
      <c r="A117" s="376"/>
      <c r="B117" s="380" t="s">
        <v>366</v>
      </c>
      <c r="C117" s="381" t="s">
        <v>302</v>
      </c>
      <c r="D117" s="382"/>
      <c r="E117" s="367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ht="57.75" customHeight="1">
      <c r="A118" s="376"/>
      <c r="B118" s="380" t="s">
        <v>367</v>
      </c>
      <c r="C118" s="381" t="s">
        <v>298</v>
      </c>
      <c r="D118" s="382"/>
      <c r="E118" s="367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ht="57.75" customHeight="1">
      <c r="A119" s="376"/>
      <c r="B119" s="389" t="s">
        <v>368</v>
      </c>
      <c r="C119" s="390" t="s">
        <v>264</v>
      </c>
      <c r="D119" s="391"/>
      <c r="E119" s="367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ht="57.75" customHeight="1">
      <c r="A120" s="376"/>
      <c r="B120" s="389" t="s">
        <v>369</v>
      </c>
      <c r="C120" s="390" t="s">
        <v>370</v>
      </c>
      <c r="D120" s="391"/>
      <c r="E120" s="367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ht="57.75" customHeight="1">
      <c r="A121" s="376"/>
      <c r="B121" s="392" t="s">
        <v>371</v>
      </c>
      <c r="C121" s="393" t="s">
        <v>321</v>
      </c>
      <c r="D121" s="394"/>
      <c r="E121" s="367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ht="57.75" customHeight="1">
      <c r="A122" s="376"/>
      <c r="B122" s="392" t="s">
        <v>372</v>
      </c>
      <c r="C122" s="393" t="s">
        <v>235</v>
      </c>
      <c r="D122" s="394"/>
      <c r="E122" s="367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ht="57.75" customHeight="1">
      <c r="A123" s="376"/>
      <c r="B123" s="392" t="s">
        <v>373</v>
      </c>
      <c r="C123" s="393" t="s">
        <v>298</v>
      </c>
      <c r="D123" s="394"/>
      <c r="E123" s="367"/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ht="57.75" customHeight="1">
      <c r="A124" s="376"/>
      <c r="B124" s="389" t="s">
        <v>374</v>
      </c>
      <c r="C124" s="390" t="s">
        <v>270</v>
      </c>
      <c r="D124" s="394"/>
      <c r="E124" s="367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ht="57.75" customHeight="1">
      <c r="A125" s="376"/>
      <c r="B125" s="392" t="s">
        <v>375</v>
      </c>
      <c r="C125" s="393" t="s">
        <v>251</v>
      </c>
      <c r="D125" s="394"/>
      <c r="E125" s="367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ht="57.75" customHeight="1">
      <c r="A126" s="376"/>
      <c r="B126" s="392"/>
      <c r="C126" s="393"/>
      <c r="D126" s="394"/>
      <c r="E126" s="367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ht="57.75" customHeight="1">
      <c r="A127" s="376"/>
      <c r="B127" s="392"/>
      <c r="C127" s="393"/>
      <c r="D127" s="394"/>
      <c r="E127" s="367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ht="57.75" customHeight="1">
      <c r="A128" s="376"/>
      <c r="B128" s="392"/>
      <c r="C128" s="393"/>
      <c r="D128" s="394"/>
      <c r="E128" s="367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ht="57.75" customHeight="1">
      <c r="A129" s="376"/>
      <c r="B129" s="392"/>
      <c r="C129" s="393"/>
      <c r="D129" s="394"/>
      <c r="E129" s="367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ht="57.75" customHeight="1">
      <c r="A130" s="376"/>
      <c r="B130" s="392"/>
      <c r="C130" s="393"/>
      <c r="D130" s="394"/>
      <c r="E130" s="367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ht="57.75" customHeight="1">
      <c r="A131" s="376"/>
      <c r="B131" s="392"/>
      <c r="C131" s="393"/>
      <c r="D131" s="394"/>
      <c r="E131" s="367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ht="57.75" customHeight="1">
      <c r="A132" s="376"/>
      <c r="B132" s="392"/>
      <c r="C132" s="393"/>
      <c r="D132" s="394"/>
      <c r="E132" s="367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ht="57.75" customHeight="1">
      <c r="A133" s="376"/>
      <c r="B133" s="392"/>
      <c r="C133" s="393"/>
      <c r="D133" s="394"/>
      <c r="E133" s="367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ht="57.75" customHeight="1">
      <c r="A134" s="376"/>
      <c r="B134" s="392"/>
      <c r="C134" s="393"/>
      <c r="D134" s="394"/>
      <c r="E134" s="367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ht="57.75" customHeight="1">
      <c r="A135" s="376"/>
      <c r="B135" s="392"/>
      <c r="C135" s="393"/>
      <c r="D135" s="394"/>
      <c r="E135" s="367"/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ht="57.75" customHeight="1">
      <c r="A136" s="376"/>
      <c r="B136" s="392"/>
      <c r="C136" s="393"/>
      <c r="D136" s="394"/>
      <c r="E136" s="367"/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ht="57.75" customHeight="1">
      <c r="A137" s="376"/>
      <c r="B137" s="392"/>
      <c r="C137" s="393"/>
      <c r="D137" s="394"/>
      <c r="E137" s="367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ht="57.75" customHeight="1">
      <c r="A138" s="376"/>
      <c r="B138" s="392"/>
      <c r="C138" s="393"/>
      <c r="D138" s="394"/>
      <c r="E138" s="367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ht="57.75" customHeight="1">
      <c r="A139" s="376"/>
      <c r="B139" s="392"/>
      <c r="C139" s="393"/>
      <c r="D139" s="394"/>
      <c r="E139" s="367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ht="57.75" customHeight="1">
      <c r="A140" s="376"/>
      <c r="B140" s="392"/>
      <c r="C140" s="393"/>
      <c r="D140" s="394"/>
      <c r="E140" s="367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ht="57.75" customHeight="1">
      <c r="A141" s="376"/>
      <c r="B141" s="392"/>
      <c r="C141" s="393"/>
      <c r="D141" s="394"/>
      <c r="E141" s="367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ht="57.75" customHeight="1">
      <c r="A142" s="376"/>
      <c r="B142" s="392"/>
      <c r="C142" s="393"/>
      <c r="D142" s="394"/>
      <c r="E142" s="367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ht="57.75" customHeight="1">
      <c r="A143" s="376"/>
      <c r="B143" s="392"/>
      <c r="C143" s="393"/>
      <c r="D143" s="394"/>
      <c r="E143" s="367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ht="57.75" customHeight="1">
      <c r="A144" s="376"/>
      <c r="B144" s="392"/>
      <c r="C144" s="393"/>
      <c r="D144" s="394"/>
      <c r="E144" s="367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ht="57.75" customHeight="1">
      <c r="A145" s="376"/>
      <c r="B145" s="392"/>
      <c r="C145" s="393"/>
      <c r="D145" s="394"/>
      <c r="E145" s="367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ht="57.75" customHeight="1">
      <c r="A146" s="376"/>
      <c r="B146" s="392"/>
      <c r="C146" s="393"/>
      <c r="D146" s="394"/>
      <c r="E146" s="367"/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ht="57.75" customHeight="1">
      <c r="A147" s="376"/>
      <c r="B147" s="392"/>
      <c r="C147" s="393"/>
      <c r="D147" s="394"/>
      <c r="E147" s="367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ht="57.75" customHeight="1">
      <c r="A148" s="376"/>
      <c r="B148" s="392"/>
      <c r="C148" s="393"/>
      <c r="D148" s="394"/>
      <c r="E148" s="367"/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ht="57.75" customHeight="1">
      <c r="A149" s="376"/>
      <c r="B149" s="392"/>
      <c r="C149" s="393"/>
      <c r="D149" s="394"/>
      <c r="E149" s="367"/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ht="57.75" customHeight="1">
      <c r="A150" s="376"/>
      <c r="B150" s="392"/>
      <c r="C150" s="393"/>
      <c r="D150" s="394"/>
      <c r="E150" s="367"/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ht="57.75" customHeight="1">
      <c r="A151" s="376"/>
      <c r="B151" s="392"/>
      <c r="C151" s="393"/>
      <c r="D151" s="394"/>
      <c r="E151" s="367"/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ht="57.75" customHeight="1">
      <c r="A152" s="376"/>
      <c r="B152" s="392"/>
      <c r="C152" s="393"/>
      <c r="D152" s="394"/>
      <c r="E152" s="367"/>
      <c r="F152" s="368"/>
      <c r="G152" s="368"/>
      <c r="H152" s="368"/>
      <c r="I152" s="368"/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ht="57.75" customHeight="1">
      <c r="A153" s="376"/>
      <c r="B153" s="392"/>
      <c r="C153" s="393"/>
      <c r="D153" s="394"/>
      <c r="E153" s="367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ht="57.75" customHeight="1">
      <c r="A154" s="376"/>
      <c r="B154" s="392"/>
      <c r="C154" s="393"/>
      <c r="D154" s="394"/>
      <c r="E154" s="367"/>
      <c r="F154" s="368"/>
      <c r="G154" s="368"/>
      <c r="H154" s="368"/>
      <c r="I154" s="368"/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ht="57.75" customHeight="1">
      <c r="A155" s="376"/>
      <c r="B155" s="392"/>
      <c r="C155" s="393"/>
      <c r="D155" s="394"/>
      <c r="E155" s="367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ht="57.75" customHeight="1">
      <c r="A156" s="376"/>
      <c r="B156" s="392"/>
      <c r="C156" s="393"/>
      <c r="D156" s="394"/>
      <c r="E156" s="367"/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ht="57.75" customHeight="1">
      <c r="A157" s="376"/>
      <c r="B157" s="392"/>
      <c r="C157" s="393"/>
      <c r="D157" s="394"/>
      <c r="E157" s="367"/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ht="57.75" customHeight="1">
      <c r="A158" s="376"/>
      <c r="B158" s="392"/>
      <c r="C158" s="393"/>
      <c r="D158" s="394"/>
      <c r="E158" s="367"/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ht="57.75" customHeight="1">
      <c r="A159" s="376"/>
      <c r="B159" s="392"/>
      <c r="C159" s="393"/>
      <c r="D159" s="394"/>
      <c r="E159" s="367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ht="57.75" customHeight="1">
      <c r="A160" s="376"/>
      <c r="B160" s="392"/>
      <c r="C160" s="393"/>
      <c r="D160" s="394"/>
      <c r="E160" s="367"/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>
      <c r="A161" s="368"/>
      <c r="B161" s="373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>
      <c r="A162" s="368"/>
      <c r="B162" s="373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>
      <c r="A163" s="368"/>
      <c r="B163" s="373"/>
      <c r="C163" s="368"/>
      <c r="D163" s="368"/>
      <c r="E163" s="368"/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>
      <c r="A164" s="368"/>
      <c r="B164" s="373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>
      <c r="A165" s="368"/>
      <c r="B165" s="373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>
      <c r="A166" s="368"/>
      <c r="B166" s="373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>
      <c r="A167" s="368"/>
      <c r="B167" s="373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>
      <c r="A168" s="368"/>
      <c r="B168" s="373"/>
      <c r="C168" s="368"/>
      <c r="D168" s="368"/>
      <c r="E168" s="368"/>
      <c r="F168" s="368"/>
      <c r="G168" s="368"/>
      <c r="H168" s="368"/>
      <c r="I168" s="368"/>
      <c r="J168" s="368"/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>
      <c r="A169" s="368"/>
      <c r="B169" s="373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>
      <c r="A170" s="368"/>
      <c r="B170" s="373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>
      <c r="A171" s="368"/>
      <c r="B171" s="373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>
      <c r="A172" s="368"/>
      <c r="B172" s="373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>
      <c r="A173" s="368"/>
      <c r="B173" s="373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>
      <c r="A174" s="368"/>
      <c r="B174" s="373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>
      <c r="A175" s="368"/>
      <c r="B175" s="373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>
      <c r="A176" s="368"/>
      <c r="B176" s="373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>
      <c r="A177" s="368"/>
      <c r="B177" s="373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>
      <c r="A178" s="368"/>
      <c r="B178" s="373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>
      <c r="A179" s="368"/>
      <c r="B179" s="373"/>
      <c r="C179" s="368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>
      <c r="A180" s="368"/>
      <c r="B180" s="373"/>
      <c r="C180" s="368"/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>
      <c r="A181" s="368"/>
      <c r="B181" s="373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>
      <c r="A182" s="368"/>
      <c r="B182" s="373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>
      <c r="A183" s="368"/>
      <c r="B183" s="373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>
      <c r="A184" s="368"/>
      <c r="B184" s="373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>
      <c r="A185" s="368"/>
      <c r="B185" s="373"/>
      <c r="C185" s="368"/>
      <c r="D185" s="368"/>
      <c r="E185" s="368"/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>
      <c r="A186" s="368"/>
      <c r="B186" s="373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>
      <c r="A187" s="368"/>
      <c r="B187" s="373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>
      <c r="A188" s="368"/>
      <c r="B188" s="373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>
      <c r="A189" s="368"/>
      <c r="B189" s="373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>
      <c r="A190" s="368"/>
      <c r="B190" s="373"/>
      <c r="C190" s="368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>
      <c r="A191" s="368"/>
      <c r="B191" s="373"/>
      <c r="C191" s="368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>
      <c r="A192" s="368"/>
      <c r="B192" s="373"/>
      <c r="C192" s="368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>
      <c r="A193" s="368"/>
      <c r="B193" s="373"/>
      <c r="C193" s="368"/>
      <c r="D193" s="368"/>
      <c r="E193" s="368"/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>
      <c r="A194" s="368"/>
      <c r="B194" s="373"/>
      <c r="C194" s="368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>
      <c r="A195" s="368"/>
      <c r="B195" s="373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>
      <c r="A196" s="368"/>
      <c r="B196" s="373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>
      <c r="A197" s="368"/>
      <c r="B197" s="373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>
      <c r="A198" s="368"/>
      <c r="B198" s="373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>
      <c r="A199" s="368"/>
      <c r="B199" s="373"/>
      <c r="C199" s="368"/>
      <c r="D199" s="368"/>
      <c r="E199" s="368"/>
      <c r="F199" s="368"/>
      <c r="G199" s="368"/>
      <c r="H199" s="368"/>
      <c r="I199" s="368"/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>
      <c r="A200" s="368"/>
      <c r="B200" s="373"/>
      <c r="C200" s="368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>
      <c r="A201" s="368"/>
      <c r="B201" s="373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>
      <c r="A202" s="368"/>
      <c r="B202" s="373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>
      <c r="A203" s="368"/>
      <c r="B203" s="373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>
      <c r="A204" s="368"/>
      <c r="B204" s="373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>
      <c r="A205" s="368"/>
      <c r="B205" s="373"/>
      <c r="C205" s="368"/>
      <c r="D205" s="368"/>
      <c r="E205" s="368"/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>
      <c r="A206" s="368"/>
      <c r="B206" s="373"/>
      <c r="C206" s="368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>
      <c r="A207" s="368"/>
      <c r="B207" s="373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>
      <c r="A208" s="368"/>
      <c r="B208" s="373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>
      <c r="A209" s="368"/>
      <c r="B209" s="373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>
      <c r="A210" s="368"/>
      <c r="B210" s="373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>
      <c r="A211" s="368"/>
      <c r="B211" s="373"/>
      <c r="C211" s="368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>
      <c r="A212" s="368"/>
      <c r="B212" s="373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>
      <c r="A213" s="368"/>
      <c r="B213" s="373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>
      <c r="A214" s="368"/>
      <c r="B214" s="373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>
      <c r="A215" s="368"/>
      <c r="B215" s="373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>
      <c r="A216" s="368"/>
      <c r="B216" s="373"/>
      <c r="C216" s="368"/>
      <c r="D216" s="368"/>
      <c r="E216" s="368"/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>
      <c r="A217" s="368"/>
      <c r="B217" s="373"/>
      <c r="C217" s="368"/>
      <c r="D217" s="368"/>
      <c r="E217" s="368"/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</row>
    <row r="218">
      <c r="A218" s="368"/>
      <c r="B218" s="373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</row>
    <row r="219">
      <c r="A219" s="368"/>
      <c r="B219" s="373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</row>
    <row r="220">
      <c r="A220" s="368"/>
      <c r="B220" s="373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</row>
    <row r="221">
      <c r="A221" s="368"/>
      <c r="B221" s="373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</row>
    <row r="222">
      <c r="A222" s="368"/>
      <c r="B222" s="373"/>
      <c r="C222" s="368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>
      <c r="A223" s="368"/>
      <c r="B223" s="373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>
      <c r="A224" s="368"/>
      <c r="B224" s="373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>
      <c r="A225" s="368"/>
      <c r="B225" s="373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>
      <c r="A226" s="368"/>
      <c r="B226" s="373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>
      <c r="A227" s="368"/>
      <c r="B227" s="373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>
      <c r="A228" s="368"/>
      <c r="B228" s="373"/>
      <c r="C228" s="368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>
      <c r="A229" s="368"/>
      <c r="B229" s="373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>
      <c r="A230" s="368"/>
      <c r="B230" s="373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>
      <c r="A231" s="368"/>
      <c r="B231" s="373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>
      <c r="A232" s="368"/>
      <c r="B232" s="373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>
      <c r="A233" s="368"/>
      <c r="B233" s="373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>
      <c r="A234" s="368"/>
      <c r="B234" s="373"/>
      <c r="C234" s="368"/>
      <c r="D234" s="368"/>
      <c r="E234" s="368"/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>
      <c r="A235" s="368"/>
      <c r="B235" s="373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>
      <c r="A236" s="368"/>
      <c r="B236" s="373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>
      <c r="A237" s="368"/>
      <c r="B237" s="373"/>
      <c r="C237" s="368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>
      <c r="A238" s="368"/>
      <c r="B238" s="373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</row>
    <row r="239">
      <c r="A239" s="368"/>
      <c r="B239" s="373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</row>
    <row r="240">
      <c r="A240" s="368"/>
      <c r="B240" s="373"/>
      <c r="C240" s="368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</row>
    <row r="241">
      <c r="A241" s="368"/>
      <c r="B241" s="373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</row>
    <row r="242">
      <c r="A242" s="368"/>
      <c r="B242" s="373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</row>
    <row r="243">
      <c r="A243" s="368"/>
      <c r="B243" s="373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</row>
    <row r="244">
      <c r="A244" s="368"/>
      <c r="B244" s="373"/>
      <c r="C244" s="368"/>
      <c r="D244" s="368"/>
      <c r="E244" s="368"/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</row>
    <row r="245">
      <c r="A245" s="368"/>
      <c r="B245" s="373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</row>
    <row r="246">
      <c r="A246" s="368"/>
      <c r="B246" s="373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</row>
    <row r="247">
      <c r="A247" s="368"/>
      <c r="B247" s="373"/>
      <c r="C247" s="368"/>
      <c r="D247" s="368"/>
      <c r="E247" s="368"/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</row>
    <row r="248">
      <c r="A248" s="368"/>
      <c r="B248" s="373"/>
      <c r="C248" s="368"/>
      <c r="D248" s="368"/>
      <c r="E248" s="368"/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</row>
    <row r="249">
      <c r="A249" s="368"/>
      <c r="B249" s="373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</row>
    <row r="250">
      <c r="A250" s="368"/>
      <c r="B250" s="373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</row>
    <row r="251">
      <c r="A251" s="368"/>
      <c r="B251" s="373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</row>
    <row r="252">
      <c r="A252" s="368"/>
      <c r="B252" s="373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</row>
    <row r="253">
      <c r="A253" s="368"/>
      <c r="B253" s="373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</row>
    <row r="254">
      <c r="A254" s="368"/>
      <c r="B254" s="373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</row>
    <row r="255">
      <c r="A255" s="368"/>
      <c r="B255" s="373"/>
      <c r="C255" s="368"/>
      <c r="D255" s="368"/>
      <c r="E255" s="368"/>
      <c r="F255" s="368"/>
      <c r="G255" s="368"/>
      <c r="H255" s="368"/>
      <c r="I255" s="368"/>
      <c r="J255" s="368"/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</row>
    <row r="256">
      <c r="A256" s="368"/>
      <c r="B256" s="373"/>
      <c r="C256" s="368"/>
      <c r="D256" s="368"/>
      <c r="E256" s="368"/>
      <c r="F256" s="368"/>
      <c r="G256" s="368"/>
      <c r="H256" s="368"/>
      <c r="I256" s="368"/>
      <c r="J256" s="368"/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</row>
    <row r="257">
      <c r="A257" s="368"/>
      <c r="B257" s="373"/>
      <c r="C257" s="368"/>
      <c r="D257" s="368"/>
      <c r="E257" s="368"/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</row>
    <row r="258">
      <c r="A258" s="368"/>
      <c r="B258" s="373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</row>
    <row r="259">
      <c r="A259" s="368"/>
      <c r="B259" s="373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</row>
    <row r="260">
      <c r="A260" s="368"/>
      <c r="B260" s="373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</row>
    <row r="261">
      <c r="A261" s="368"/>
      <c r="B261" s="373"/>
      <c r="C261" s="368"/>
      <c r="D261" s="368"/>
      <c r="E261" s="368"/>
      <c r="F261" s="368"/>
      <c r="G261" s="368"/>
      <c r="H261" s="368"/>
      <c r="I261" s="368"/>
      <c r="J261" s="368"/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</row>
    <row r="262">
      <c r="A262" s="368"/>
      <c r="B262" s="373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</row>
    <row r="263">
      <c r="A263" s="368"/>
      <c r="B263" s="373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</row>
    <row r="264">
      <c r="A264" s="368"/>
      <c r="B264" s="373"/>
      <c r="C264" s="368"/>
      <c r="D264" s="368"/>
      <c r="E264" s="368"/>
      <c r="F264" s="368"/>
      <c r="G264" s="368"/>
      <c r="H264" s="368"/>
      <c r="I264" s="368"/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</row>
    <row r="265">
      <c r="A265" s="368"/>
      <c r="B265" s="373"/>
      <c r="C265" s="368"/>
      <c r="D265" s="368"/>
      <c r="E265" s="368"/>
      <c r="F265" s="368"/>
      <c r="G265" s="368"/>
      <c r="H265" s="368"/>
      <c r="I265" s="368"/>
      <c r="J265" s="368"/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</row>
    <row r="266">
      <c r="A266" s="368"/>
      <c r="B266" s="373"/>
      <c r="C266" s="368"/>
      <c r="D266" s="368"/>
      <c r="E266" s="368"/>
      <c r="F266" s="368"/>
      <c r="G266" s="368"/>
      <c r="H266" s="368"/>
      <c r="I266" s="368"/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</row>
    <row r="267">
      <c r="A267" s="368"/>
      <c r="B267" s="373"/>
      <c r="C267" s="368"/>
      <c r="D267" s="368"/>
      <c r="E267" s="368"/>
      <c r="F267" s="368"/>
      <c r="G267" s="368"/>
      <c r="H267" s="368"/>
      <c r="I267" s="368"/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</row>
    <row r="268">
      <c r="A268" s="368"/>
      <c r="B268" s="373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</row>
    <row r="269">
      <c r="A269" s="368"/>
      <c r="B269" s="373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</row>
    <row r="270">
      <c r="A270" s="368"/>
      <c r="B270" s="373"/>
      <c r="C270" s="368"/>
      <c r="D270" s="368"/>
      <c r="E270" s="368"/>
      <c r="F270" s="368"/>
      <c r="G270" s="368"/>
      <c r="H270" s="368"/>
      <c r="I270" s="368"/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</row>
    <row r="271">
      <c r="A271" s="368"/>
      <c r="B271" s="373"/>
      <c r="C271" s="368"/>
      <c r="D271" s="368"/>
      <c r="E271" s="368"/>
      <c r="F271" s="368"/>
      <c r="G271" s="368"/>
      <c r="H271" s="368"/>
      <c r="I271" s="368"/>
      <c r="J271" s="368"/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</row>
    <row r="272">
      <c r="A272" s="368"/>
      <c r="B272" s="373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</row>
    <row r="273">
      <c r="A273" s="368"/>
      <c r="B273" s="373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</row>
    <row r="274">
      <c r="A274" s="368"/>
      <c r="B274" s="373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</row>
    <row r="275">
      <c r="A275" s="368"/>
      <c r="B275" s="373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</row>
    <row r="276">
      <c r="A276" s="368"/>
      <c r="B276" s="373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</row>
    <row r="277">
      <c r="A277" s="368"/>
      <c r="B277" s="373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</row>
    <row r="278">
      <c r="A278" s="368"/>
      <c r="B278" s="373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</row>
    <row r="279">
      <c r="A279" s="368"/>
      <c r="B279" s="373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</row>
    <row r="280">
      <c r="A280" s="368"/>
      <c r="B280" s="373"/>
      <c r="C280" s="368"/>
      <c r="D280" s="368"/>
      <c r="E280" s="368"/>
      <c r="F280" s="368"/>
      <c r="G280" s="368"/>
      <c r="H280" s="368"/>
      <c r="I280" s="368"/>
      <c r="J280" s="368"/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</row>
    <row r="281">
      <c r="A281" s="368"/>
      <c r="B281" s="373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</row>
    <row r="282">
      <c r="A282" s="368"/>
      <c r="B282" s="373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</row>
    <row r="283">
      <c r="A283" s="368"/>
      <c r="B283" s="373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</row>
    <row r="284">
      <c r="A284" s="368"/>
      <c r="B284" s="373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</row>
    <row r="285">
      <c r="A285" s="368"/>
      <c r="B285" s="373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</row>
    <row r="286">
      <c r="A286" s="368"/>
      <c r="B286" s="373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</row>
    <row r="287">
      <c r="A287" s="368"/>
      <c r="B287" s="373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</row>
    <row r="288">
      <c r="A288" s="368"/>
      <c r="B288" s="373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</row>
    <row r="289">
      <c r="A289" s="368"/>
      <c r="B289" s="373"/>
      <c r="C289" s="368"/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</row>
    <row r="290">
      <c r="A290" s="368"/>
      <c r="B290" s="373"/>
      <c r="C290" s="368"/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</row>
    <row r="291">
      <c r="A291" s="368"/>
      <c r="B291" s="373"/>
      <c r="C291" s="368"/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</row>
    <row r="292">
      <c r="A292" s="368"/>
      <c r="B292" s="373"/>
      <c r="C292" s="368"/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</row>
    <row r="293">
      <c r="A293" s="368"/>
      <c r="B293" s="373"/>
      <c r="C293" s="368"/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</row>
    <row r="294">
      <c r="A294" s="368"/>
      <c r="B294" s="373"/>
      <c r="C294" s="368"/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</row>
    <row r="295">
      <c r="A295" s="368"/>
      <c r="B295" s="373"/>
      <c r="C295" s="368"/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</row>
    <row r="296">
      <c r="A296" s="368"/>
      <c r="B296" s="373"/>
      <c r="C296" s="368"/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</row>
    <row r="297">
      <c r="A297" s="368"/>
      <c r="B297" s="373"/>
      <c r="C297" s="368"/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</row>
    <row r="298">
      <c r="A298" s="368"/>
      <c r="B298" s="373"/>
      <c r="C298" s="368"/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</row>
    <row r="299">
      <c r="A299" s="368"/>
      <c r="B299" s="373"/>
      <c r="C299" s="368"/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</row>
    <row r="300">
      <c r="A300" s="368"/>
      <c r="B300" s="373"/>
      <c r="C300" s="368"/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</row>
    <row r="301">
      <c r="A301" s="368"/>
      <c r="B301" s="373"/>
      <c r="C301" s="368"/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</row>
    <row r="302">
      <c r="A302" s="368"/>
      <c r="B302" s="373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</row>
    <row r="303">
      <c r="A303" s="368"/>
      <c r="B303" s="373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</row>
    <row r="304">
      <c r="A304" s="368"/>
      <c r="B304" s="373"/>
      <c r="C304" s="368"/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</row>
    <row r="305">
      <c r="A305" s="368"/>
      <c r="B305" s="373"/>
      <c r="C305" s="368"/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</row>
    <row r="306">
      <c r="A306" s="368"/>
      <c r="B306" s="373"/>
      <c r="C306" s="368"/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</row>
    <row r="307">
      <c r="A307" s="368"/>
      <c r="B307" s="373"/>
      <c r="C307" s="368"/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</row>
    <row r="308">
      <c r="A308" s="368"/>
      <c r="B308" s="373"/>
      <c r="C308" s="368"/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</row>
    <row r="309">
      <c r="A309" s="368"/>
      <c r="B309" s="373"/>
      <c r="C309" s="368"/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</row>
    <row r="310">
      <c r="A310" s="368"/>
      <c r="B310" s="373"/>
      <c r="C310" s="368"/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</row>
    <row r="311">
      <c r="A311" s="368"/>
      <c r="B311" s="373"/>
      <c r="C311" s="368"/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</row>
    <row r="312">
      <c r="A312" s="368"/>
      <c r="B312" s="373"/>
      <c r="C312" s="3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</row>
    <row r="313">
      <c r="A313" s="368"/>
      <c r="B313" s="373"/>
      <c r="C313" s="368"/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</row>
    <row r="314">
      <c r="A314" s="368"/>
      <c r="B314" s="373"/>
      <c r="C314" s="368"/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</row>
    <row r="315">
      <c r="A315" s="368"/>
      <c r="B315" s="373"/>
      <c r="C315" s="368"/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</row>
    <row r="316">
      <c r="A316" s="368"/>
      <c r="B316" s="373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</row>
    <row r="317">
      <c r="A317" s="368"/>
      <c r="B317" s="373"/>
      <c r="C317" s="368"/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</row>
    <row r="318">
      <c r="A318" s="368"/>
      <c r="B318" s="373"/>
      <c r="C318" s="368"/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</row>
    <row r="319">
      <c r="A319" s="368"/>
      <c r="B319" s="373"/>
      <c r="C319" s="368"/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</row>
    <row r="320">
      <c r="A320" s="368"/>
      <c r="B320" s="373"/>
      <c r="C320" s="368"/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</row>
    <row r="321">
      <c r="A321" s="368"/>
      <c r="B321" s="373"/>
      <c r="C321" s="368"/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</row>
    <row r="322">
      <c r="A322" s="368"/>
      <c r="B322" s="373"/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</row>
    <row r="323">
      <c r="A323" s="368"/>
      <c r="B323" s="373"/>
      <c r="C323" s="368"/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</row>
    <row r="324">
      <c r="A324" s="368"/>
      <c r="B324" s="373"/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</row>
    <row r="325">
      <c r="A325" s="368"/>
      <c r="B325" s="373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</row>
    <row r="326">
      <c r="A326" s="368"/>
      <c r="B326" s="373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</row>
    <row r="327">
      <c r="A327" s="368"/>
      <c r="B327" s="373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</row>
    <row r="328">
      <c r="A328" s="368"/>
      <c r="B328" s="373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</row>
    <row r="329">
      <c r="A329" s="368"/>
      <c r="B329" s="373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</row>
    <row r="330">
      <c r="A330" s="368"/>
      <c r="B330" s="373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</row>
    <row r="331">
      <c r="A331" s="368"/>
      <c r="B331" s="373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</row>
    <row r="332">
      <c r="A332" s="368"/>
      <c r="B332" s="373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</row>
    <row r="333">
      <c r="A333" s="368"/>
      <c r="B333" s="373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</row>
    <row r="334">
      <c r="A334" s="368"/>
      <c r="B334" s="373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</row>
    <row r="335">
      <c r="A335" s="368"/>
      <c r="B335" s="373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</row>
    <row r="336">
      <c r="A336" s="368"/>
      <c r="B336" s="373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</row>
    <row r="337">
      <c r="A337" s="368"/>
      <c r="B337" s="373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</row>
    <row r="338">
      <c r="A338" s="368"/>
      <c r="B338" s="373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</row>
    <row r="339">
      <c r="A339" s="368"/>
      <c r="B339" s="373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</row>
    <row r="340">
      <c r="A340" s="368"/>
      <c r="B340" s="373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</row>
    <row r="341">
      <c r="A341" s="368"/>
      <c r="B341" s="373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</row>
    <row r="342">
      <c r="A342" s="368"/>
      <c r="B342" s="373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</row>
    <row r="343">
      <c r="A343" s="368"/>
      <c r="B343" s="373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</row>
    <row r="344">
      <c r="A344" s="368"/>
      <c r="B344" s="373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</row>
    <row r="345">
      <c r="A345" s="368"/>
      <c r="B345" s="373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</row>
    <row r="346">
      <c r="A346" s="368"/>
      <c r="B346" s="373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</row>
    <row r="347">
      <c r="A347" s="368"/>
      <c r="B347" s="373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</row>
    <row r="348">
      <c r="A348" s="368"/>
      <c r="B348" s="373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</row>
    <row r="349">
      <c r="A349" s="368"/>
      <c r="B349" s="373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</row>
    <row r="350">
      <c r="A350" s="368"/>
      <c r="B350" s="373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</row>
    <row r="351">
      <c r="A351" s="368"/>
      <c r="B351" s="373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</row>
    <row r="352">
      <c r="A352" s="368"/>
      <c r="B352" s="373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</row>
    <row r="353">
      <c r="A353" s="368"/>
      <c r="B353" s="373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</row>
    <row r="354">
      <c r="A354" s="368"/>
      <c r="B354" s="373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</row>
    <row r="355">
      <c r="A355" s="368"/>
      <c r="B355" s="373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</row>
    <row r="356">
      <c r="A356" s="368"/>
      <c r="B356" s="373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</row>
    <row r="357">
      <c r="A357" s="368"/>
      <c r="B357" s="373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</row>
    <row r="358">
      <c r="A358" s="368"/>
      <c r="B358" s="373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</row>
    <row r="359">
      <c r="A359" s="368"/>
      <c r="B359" s="373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</row>
    <row r="360">
      <c r="A360" s="368"/>
      <c r="B360" s="373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</row>
    <row r="361">
      <c r="A361" s="368"/>
      <c r="B361" s="373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</row>
    <row r="362">
      <c r="A362" s="368"/>
      <c r="B362" s="373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</row>
    <row r="363">
      <c r="A363" s="368"/>
      <c r="B363" s="373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</row>
    <row r="364">
      <c r="A364" s="368"/>
      <c r="B364" s="373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</row>
    <row r="365">
      <c r="A365" s="368"/>
      <c r="B365" s="373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</row>
    <row r="366">
      <c r="A366" s="368"/>
      <c r="B366" s="373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</row>
    <row r="367">
      <c r="A367" s="368"/>
      <c r="B367" s="373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</row>
    <row r="368">
      <c r="A368" s="368"/>
      <c r="B368" s="373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</row>
    <row r="369">
      <c r="A369" s="368"/>
      <c r="B369" s="373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</row>
    <row r="370">
      <c r="A370" s="368"/>
      <c r="B370" s="373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</row>
    <row r="371">
      <c r="A371" s="368"/>
      <c r="B371" s="373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</row>
    <row r="372">
      <c r="A372" s="368"/>
      <c r="B372" s="373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</row>
    <row r="373">
      <c r="A373" s="368"/>
      <c r="B373" s="373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</row>
    <row r="374">
      <c r="A374" s="368"/>
      <c r="B374" s="373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</row>
    <row r="375">
      <c r="A375" s="368"/>
      <c r="B375" s="373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</row>
    <row r="376">
      <c r="A376" s="368"/>
      <c r="B376" s="373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</row>
    <row r="377">
      <c r="A377" s="368"/>
      <c r="B377" s="373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</row>
    <row r="378">
      <c r="A378" s="368"/>
      <c r="B378" s="373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</row>
    <row r="379">
      <c r="A379" s="368"/>
      <c r="B379" s="373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</row>
    <row r="380">
      <c r="A380" s="368"/>
      <c r="B380" s="373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</row>
    <row r="381">
      <c r="A381" s="368"/>
      <c r="B381" s="373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</row>
    <row r="382">
      <c r="A382" s="368"/>
      <c r="B382" s="373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</row>
    <row r="383">
      <c r="A383" s="368"/>
      <c r="B383" s="373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</row>
    <row r="384">
      <c r="A384" s="368"/>
      <c r="B384" s="373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</row>
    <row r="385">
      <c r="A385" s="368"/>
      <c r="B385" s="373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</row>
    <row r="386">
      <c r="A386" s="368"/>
      <c r="B386" s="373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</row>
    <row r="387">
      <c r="A387" s="368"/>
      <c r="B387" s="373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</row>
    <row r="388">
      <c r="A388" s="368"/>
      <c r="B388" s="373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</row>
    <row r="389">
      <c r="A389" s="368"/>
      <c r="B389" s="373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</row>
    <row r="390">
      <c r="A390" s="368"/>
      <c r="B390" s="373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</row>
    <row r="391">
      <c r="A391" s="368"/>
      <c r="B391" s="373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</row>
    <row r="392">
      <c r="A392" s="368"/>
      <c r="B392" s="373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</row>
    <row r="393">
      <c r="A393" s="368"/>
      <c r="B393" s="373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</row>
    <row r="394">
      <c r="A394" s="368"/>
      <c r="B394" s="373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</row>
    <row r="395">
      <c r="A395" s="368"/>
      <c r="B395" s="373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</row>
    <row r="396">
      <c r="A396" s="368"/>
      <c r="B396" s="373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</row>
    <row r="397">
      <c r="A397" s="368"/>
      <c r="B397" s="373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</row>
    <row r="398">
      <c r="A398" s="368"/>
      <c r="B398" s="373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</row>
    <row r="399">
      <c r="A399" s="368"/>
      <c r="B399" s="373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</row>
    <row r="400">
      <c r="A400" s="368"/>
      <c r="B400" s="373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</row>
    <row r="401">
      <c r="A401" s="368"/>
      <c r="B401" s="373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</row>
    <row r="402">
      <c r="A402" s="368"/>
      <c r="B402" s="373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</row>
    <row r="403">
      <c r="A403" s="368"/>
      <c r="B403" s="373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</row>
    <row r="404">
      <c r="A404" s="368"/>
      <c r="B404" s="373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</row>
    <row r="405">
      <c r="A405" s="368"/>
      <c r="B405" s="373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</row>
    <row r="406">
      <c r="A406" s="368"/>
      <c r="B406" s="373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</row>
    <row r="407">
      <c r="A407" s="368"/>
      <c r="B407" s="373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</row>
    <row r="408">
      <c r="A408" s="368"/>
      <c r="B408" s="373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</row>
    <row r="409">
      <c r="A409" s="368"/>
      <c r="B409" s="373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</row>
    <row r="410">
      <c r="A410" s="368"/>
      <c r="B410" s="373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</row>
    <row r="411">
      <c r="A411" s="368"/>
      <c r="B411" s="373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</row>
    <row r="412">
      <c r="A412" s="368"/>
      <c r="B412" s="373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</row>
    <row r="413">
      <c r="A413" s="368"/>
      <c r="B413" s="373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</row>
    <row r="414">
      <c r="A414" s="368"/>
      <c r="B414" s="373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</row>
    <row r="415">
      <c r="A415" s="368"/>
      <c r="B415" s="373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</row>
    <row r="416">
      <c r="A416" s="368"/>
      <c r="B416" s="373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</row>
    <row r="417">
      <c r="A417" s="368"/>
      <c r="B417" s="373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</row>
    <row r="418">
      <c r="A418" s="368"/>
      <c r="B418" s="373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</row>
    <row r="419">
      <c r="A419" s="368"/>
      <c r="B419" s="373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</row>
    <row r="420">
      <c r="A420" s="368"/>
      <c r="B420" s="373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</row>
    <row r="421">
      <c r="A421" s="368"/>
      <c r="B421" s="373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</row>
    <row r="422">
      <c r="A422" s="368"/>
      <c r="B422" s="373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</row>
    <row r="423">
      <c r="A423" s="368"/>
      <c r="B423" s="373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</row>
    <row r="424">
      <c r="A424" s="368"/>
      <c r="B424" s="373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</row>
    <row r="425">
      <c r="A425" s="368"/>
      <c r="B425" s="373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</row>
    <row r="426">
      <c r="A426" s="368"/>
      <c r="B426" s="373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</row>
    <row r="427">
      <c r="A427" s="368"/>
      <c r="B427" s="373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</row>
    <row r="428">
      <c r="A428" s="368"/>
      <c r="B428" s="373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</row>
    <row r="429">
      <c r="A429" s="368"/>
      <c r="B429" s="373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</row>
    <row r="430">
      <c r="A430" s="368"/>
      <c r="B430" s="373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</row>
    <row r="431">
      <c r="A431" s="368"/>
      <c r="B431" s="373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</row>
    <row r="432">
      <c r="A432" s="368"/>
      <c r="B432" s="373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</row>
    <row r="433">
      <c r="A433" s="368"/>
      <c r="B433" s="373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</row>
    <row r="434">
      <c r="A434" s="368"/>
      <c r="B434" s="373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</row>
    <row r="435">
      <c r="A435" s="368"/>
      <c r="B435" s="373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</row>
    <row r="436">
      <c r="A436" s="368"/>
      <c r="B436" s="373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</row>
    <row r="437">
      <c r="A437" s="368"/>
      <c r="B437" s="373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</row>
    <row r="438">
      <c r="A438" s="368"/>
      <c r="B438" s="373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</row>
    <row r="439">
      <c r="A439" s="368"/>
      <c r="B439" s="373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</row>
    <row r="440">
      <c r="A440" s="368"/>
      <c r="B440" s="373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</row>
    <row r="441">
      <c r="A441" s="368"/>
      <c r="B441" s="373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</row>
    <row r="442">
      <c r="A442" s="368"/>
      <c r="B442" s="373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</row>
    <row r="443">
      <c r="A443" s="368"/>
      <c r="B443" s="373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</row>
    <row r="444">
      <c r="A444" s="368"/>
      <c r="B444" s="373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</row>
    <row r="445">
      <c r="A445" s="368"/>
      <c r="B445" s="373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</row>
    <row r="446">
      <c r="A446" s="368"/>
      <c r="B446" s="373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</row>
    <row r="447">
      <c r="A447" s="368"/>
      <c r="B447" s="373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</row>
    <row r="448">
      <c r="A448" s="368"/>
      <c r="B448" s="373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</row>
    <row r="449">
      <c r="A449" s="368"/>
      <c r="B449" s="373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</row>
    <row r="450">
      <c r="A450" s="368"/>
      <c r="B450" s="373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</row>
    <row r="451">
      <c r="A451" s="368"/>
      <c r="B451" s="373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</row>
    <row r="452">
      <c r="A452" s="368"/>
      <c r="B452" s="373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</row>
    <row r="453">
      <c r="A453" s="368"/>
      <c r="B453" s="373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</row>
    <row r="454">
      <c r="A454" s="368"/>
      <c r="B454" s="373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</row>
    <row r="455">
      <c r="A455" s="368"/>
      <c r="B455" s="373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</row>
    <row r="456">
      <c r="A456" s="368"/>
      <c r="B456" s="373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</row>
    <row r="457">
      <c r="A457" s="368"/>
      <c r="B457" s="373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</row>
    <row r="458">
      <c r="A458" s="368"/>
      <c r="B458" s="373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</row>
    <row r="459">
      <c r="A459" s="368"/>
      <c r="B459" s="373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</row>
    <row r="460">
      <c r="A460" s="368"/>
      <c r="B460" s="373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</row>
    <row r="461">
      <c r="A461" s="368"/>
      <c r="B461" s="373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</row>
    <row r="462">
      <c r="A462" s="368"/>
      <c r="B462" s="373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</row>
    <row r="463">
      <c r="A463" s="368"/>
      <c r="B463" s="373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</row>
    <row r="464">
      <c r="A464" s="368"/>
      <c r="B464" s="373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</row>
    <row r="465">
      <c r="A465" s="368"/>
      <c r="B465" s="373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</row>
    <row r="466">
      <c r="A466" s="368"/>
      <c r="B466" s="373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</row>
    <row r="467">
      <c r="A467" s="368"/>
      <c r="B467" s="373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</row>
    <row r="468">
      <c r="A468" s="368"/>
      <c r="B468" s="373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</row>
    <row r="469">
      <c r="A469" s="368"/>
      <c r="B469" s="373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</row>
    <row r="470">
      <c r="A470" s="368"/>
      <c r="B470" s="373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</row>
    <row r="471">
      <c r="A471" s="368"/>
      <c r="B471" s="373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</row>
    <row r="472">
      <c r="A472" s="368"/>
      <c r="B472" s="373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</row>
    <row r="473">
      <c r="A473" s="368"/>
      <c r="B473" s="373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</row>
    <row r="474">
      <c r="A474" s="368"/>
      <c r="B474" s="373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</row>
    <row r="475">
      <c r="A475" s="368"/>
      <c r="B475" s="373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</row>
    <row r="476">
      <c r="A476" s="368"/>
      <c r="B476" s="373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</row>
    <row r="477">
      <c r="A477" s="368"/>
      <c r="B477" s="373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</row>
    <row r="478">
      <c r="A478" s="368"/>
      <c r="B478" s="373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</row>
    <row r="479">
      <c r="A479" s="368"/>
      <c r="B479" s="373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</row>
    <row r="480">
      <c r="A480" s="368"/>
      <c r="B480" s="373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</row>
    <row r="481">
      <c r="A481" s="368"/>
      <c r="B481" s="373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</row>
    <row r="482">
      <c r="A482" s="368"/>
      <c r="B482" s="373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</row>
    <row r="483">
      <c r="A483" s="368"/>
      <c r="B483" s="373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</row>
    <row r="484">
      <c r="A484" s="368"/>
      <c r="B484" s="373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</row>
    <row r="485">
      <c r="A485" s="368"/>
      <c r="B485" s="373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</row>
    <row r="486">
      <c r="A486" s="368"/>
      <c r="B486" s="373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</row>
    <row r="487">
      <c r="A487" s="368"/>
      <c r="B487" s="373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</row>
    <row r="488">
      <c r="A488" s="368"/>
      <c r="B488" s="373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</row>
    <row r="489">
      <c r="A489" s="368"/>
      <c r="B489" s="373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</row>
    <row r="490">
      <c r="A490" s="368"/>
      <c r="B490" s="373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</row>
    <row r="491">
      <c r="A491" s="368"/>
      <c r="B491" s="373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</row>
    <row r="492">
      <c r="A492" s="368"/>
      <c r="B492" s="373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</row>
    <row r="493">
      <c r="A493" s="368"/>
      <c r="B493" s="373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</row>
    <row r="494">
      <c r="A494" s="368"/>
      <c r="B494" s="373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</row>
    <row r="495">
      <c r="A495" s="368"/>
      <c r="B495" s="373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</row>
    <row r="496">
      <c r="A496" s="368"/>
      <c r="B496" s="373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</row>
    <row r="497">
      <c r="A497" s="368"/>
      <c r="B497" s="373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</row>
    <row r="498">
      <c r="A498" s="368"/>
      <c r="B498" s="373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</row>
    <row r="499">
      <c r="A499" s="368"/>
      <c r="B499" s="373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</row>
    <row r="500">
      <c r="A500" s="368"/>
      <c r="B500" s="373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</row>
    <row r="501">
      <c r="A501" s="368"/>
      <c r="B501" s="373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</row>
    <row r="502">
      <c r="A502" s="368"/>
      <c r="B502" s="373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</row>
    <row r="503">
      <c r="A503" s="368"/>
      <c r="B503" s="373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</row>
    <row r="504">
      <c r="A504" s="368"/>
      <c r="B504" s="373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</row>
    <row r="505">
      <c r="A505" s="368"/>
      <c r="B505" s="373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</row>
    <row r="506">
      <c r="A506" s="368"/>
      <c r="B506" s="373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</row>
    <row r="507">
      <c r="A507" s="368"/>
      <c r="B507" s="373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</row>
    <row r="508">
      <c r="A508" s="368"/>
      <c r="B508" s="373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</row>
    <row r="509">
      <c r="A509" s="368"/>
      <c r="B509" s="373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</row>
    <row r="510">
      <c r="A510" s="368"/>
      <c r="B510" s="373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</row>
    <row r="511">
      <c r="A511" s="368"/>
      <c r="B511" s="373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</row>
    <row r="512">
      <c r="A512" s="368"/>
      <c r="B512" s="373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</row>
    <row r="513">
      <c r="A513" s="368"/>
      <c r="B513" s="373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</row>
    <row r="514">
      <c r="A514" s="368"/>
      <c r="B514" s="373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</row>
    <row r="515">
      <c r="A515" s="368"/>
      <c r="B515" s="373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</row>
    <row r="516">
      <c r="A516" s="368"/>
      <c r="B516" s="373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</row>
    <row r="517">
      <c r="A517" s="368"/>
      <c r="B517" s="373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</row>
    <row r="518">
      <c r="A518" s="368"/>
      <c r="B518" s="373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</row>
    <row r="519">
      <c r="A519" s="368"/>
      <c r="B519" s="373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</row>
    <row r="520">
      <c r="A520" s="368"/>
      <c r="B520" s="373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</row>
    <row r="521">
      <c r="A521" s="368"/>
      <c r="B521" s="373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</row>
    <row r="522">
      <c r="A522" s="368"/>
      <c r="B522" s="373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</row>
    <row r="523">
      <c r="A523" s="368"/>
      <c r="B523" s="373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</row>
    <row r="524">
      <c r="A524" s="368"/>
      <c r="B524" s="373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</row>
    <row r="525">
      <c r="A525" s="368"/>
      <c r="B525" s="373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</row>
    <row r="526">
      <c r="A526" s="368"/>
      <c r="B526" s="373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</row>
    <row r="527">
      <c r="A527" s="368"/>
      <c r="B527" s="373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</row>
    <row r="528">
      <c r="A528" s="368"/>
      <c r="B528" s="373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</row>
    <row r="529">
      <c r="A529" s="368"/>
      <c r="B529" s="373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</row>
    <row r="530">
      <c r="A530" s="368"/>
      <c r="B530" s="373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</row>
    <row r="531">
      <c r="A531" s="368"/>
      <c r="B531" s="373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</row>
    <row r="532">
      <c r="A532" s="368"/>
      <c r="B532" s="373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</row>
    <row r="533">
      <c r="A533" s="368"/>
      <c r="B533" s="373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</row>
    <row r="534">
      <c r="A534" s="368"/>
      <c r="B534" s="373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</row>
    <row r="535">
      <c r="A535" s="368"/>
      <c r="B535" s="373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</row>
    <row r="536">
      <c r="A536" s="368"/>
      <c r="B536" s="373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</row>
    <row r="537">
      <c r="A537" s="368"/>
      <c r="B537" s="373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</row>
    <row r="538">
      <c r="A538" s="368"/>
      <c r="B538" s="373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</row>
    <row r="539">
      <c r="A539" s="368"/>
      <c r="B539" s="373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</row>
    <row r="540">
      <c r="A540" s="368"/>
      <c r="B540" s="373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</row>
    <row r="541">
      <c r="A541" s="368"/>
      <c r="B541" s="373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</row>
    <row r="542">
      <c r="A542" s="368"/>
      <c r="B542" s="373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</row>
    <row r="543">
      <c r="A543" s="368"/>
      <c r="B543" s="373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</row>
    <row r="544">
      <c r="A544" s="368"/>
      <c r="B544" s="373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</row>
    <row r="545">
      <c r="A545" s="368"/>
      <c r="B545" s="373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</row>
    <row r="546">
      <c r="A546" s="368"/>
      <c r="B546" s="373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</row>
    <row r="547">
      <c r="A547" s="368"/>
      <c r="B547" s="373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</row>
    <row r="548">
      <c r="A548" s="368"/>
      <c r="B548" s="373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</row>
    <row r="549">
      <c r="A549" s="368"/>
      <c r="B549" s="373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</row>
    <row r="550">
      <c r="A550" s="368"/>
      <c r="B550" s="373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</row>
    <row r="551">
      <c r="A551" s="368"/>
      <c r="B551" s="373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</row>
    <row r="552">
      <c r="A552" s="368"/>
      <c r="B552" s="373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</row>
    <row r="553">
      <c r="A553" s="368"/>
      <c r="B553" s="373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</row>
    <row r="554">
      <c r="A554" s="368"/>
      <c r="B554" s="373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</row>
    <row r="555">
      <c r="A555" s="368"/>
      <c r="B555" s="373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</row>
    <row r="556">
      <c r="A556" s="368"/>
      <c r="B556" s="373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</row>
    <row r="557">
      <c r="A557" s="368"/>
      <c r="B557" s="373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</row>
    <row r="558">
      <c r="A558" s="368"/>
      <c r="B558" s="373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</row>
    <row r="559">
      <c r="A559" s="368"/>
      <c r="B559" s="373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</row>
    <row r="560">
      <c r="A560" s="368"/>
      <c r="B560" s="373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</row>
    <row r="561">
      <c r="A561" s="368"/>
      <c r="B561" s="373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</row>
    <row r="562">
      <c r="A562" s="368"/>
      <c r="B562" s="373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</row>
    <row r="563">
      <c r="A563" s="368"/>
      <c r="B563" s="373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</row>
    <row r="564">
      <c r="A564" s="368"/>
      <c r="B564" s="373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</row>
    <row r="565">
      <c r="A565" s="368"/>
      <c r="B565" s="373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</row>
    <row r="566">
      <c r="A566" s="368"/>
      <c r="B566" s="373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</row>
    <row r="567">
      <c r="A567" s="368"/>
      <c r="B567" s="373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</row>
    <row r="568">
      <c r="A568" s="368"/>
      <c r="B568" s="373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</row>
    <row r="569">
      <c r="A569" s="368"/>
      <c r="B569" s="373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</row>
    <row r="570">
      <c r="A570" s="368"/>
      <c r="B570" s="373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</row>
    <row r="571">
      <c r="A571" s="368"/>
      <c r="B571" s="373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</row>
    <row r="572">
      <c r="A572" s="368"/>
      <c r="B572" s="373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</row>
    <row r="573">
      <c r="A573" s="368"/>
      <c r="B573" s="373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</row>
    <row r="574">
      <c r="A574" s="368"/>
      <c r="B574" s="373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</row>
    <row r="575">
      <c r="A575" s="368"/>
      <c r="B575" s="373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</row>
    <row r="576">
      <c r="A576" s="368"/>
      <c r="B576" s="373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</row>
    <row r="577">
      <c r="A577" s="368"/>
      <c r="B577" s="373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</row>
    <row r="578">
      <c r="A578" s="368"/>
      <c r="B578" s="373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</row>
    <row r="579">
      <c r="A579" s="368"/>
      <c r="B579" s="373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</row>
    <row r="580">
      <c r="A580" s="368"/>
      <c r="B580" s="373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</row>
    <row r="581">
      <c r="A581" s="368"/>
      <c r="B581" s="373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</row>
    <row r="582">
      <c r="A582" s="368"/>
      <c r="B582" s="373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</row>
    <row r="583">
      <c r="A583" s="368"/>
      <c r="B583" s="373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</row>
    <row r="584">
      <c r="A584" s="368"/>
      <c r="B584" s="373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</row>
    <row r="585">
      <c r="A585" s="368"/>
      <c r="B585" s="373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</row>
    <row r="586">
      <c r="A586" s="368"/>
      <c r="B586" s="373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</row>
    <row r="587">
      <c r="A587" s="368"/>
      <c r="B587" s="373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</row>
    <row r="588">
      <c r="A588" s="368"/>
      <c r="B588" s="373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</row>
    <row r="589">
      <c r="A589" s="368"/>
      <c r="B589" s="373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</row>
    <row r="590">
      <c r="A590" s="368"/>
      <c r="B590" s="373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</row>
    <row r="591">
      <c r="A591" s="368"/>
      <c r="B591" s="373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</row>
    <row r="592">
      <c r="A592" s="368"/>
      <c r="B592" s="373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</row>
    <row r="593">
      <c r="A593" s="368"/>
      <c r="B593" s="373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</row>
    <row r="594">
      <c r="A594" s="368"/>
      <c r="B594" s="373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</row>
    <row r="595">
      <c r="A595" s="368"/>
      <c r="B595" s="373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</row>
    <row r="596">
      <c r="A596" s="368"/>
      <c r="B596" s="373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</row>
    <row r="597">
      <c r="A597" s="368"/>
      <c r="B597" s="373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</row>
    <row r="598">
      <c r="A598" s="368"/>
      <c r="B598" s="373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</row>
    <row r="599">
      <c r="A599" s="368"/>
      <c r="B599" s="373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</row>
    <row r="600">
      <c r="A600" s="368"/>
      <c r="B600" s="373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</row>
    <row r="601">
      <c r="A601" s="368"/>
      <c r="B601" s="373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</row>
    <row r="602">
      <c r="A602" s="368"/>
      <c r="B602" s="373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</row>
    <row r="603">
      <c r="A603" s="368"/>
      <c r="B603" s="373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</row>
    <row r="604">
      <c r="A604" s="368"/>
      <c r="B604" s="373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</row>
    <row r="605">
      <c r="A605" s="368"/>
      <c r="B605" s="373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</row>
    <row r="606">
      <c r="A606" s="368"/>
      <c r="B606" s="373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</row>
    <row r="607">
      <c r="A607" s="368"/>
      <c r="B607" s="373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</row>
    <row r="608">
      <c r="A608" s="368"/>
      <c r="B608" s="373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</row>
    <row r="609">
      <c r="A609" s="368"/>
      <c r="B609" s="373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</row>
    <row r="610">
      <c r="A610" s="368"/>
      <c r="B610" s="373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</row>
    <row r="611">
      <c r="A611" s="368"/>
      <c r="B611" s="373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</row>
    <row r="612">
      <c r="A612" s="368"/>
      <c r="B612" s="373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</row>
    <row r="613">
      <c r="A613" s="368"/>
      <c r="B613" s="373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</row>
    <row r="614">
      <c r="A614" s="368"/>
      <c r="B614" s="373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</row>
    <row r="615">
      <c r="A615" s="368"/>
      <c r="B615" s="373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</row>
    <row r="616">
      <c r="A616" s="368"/>
      <c r="B616" s="373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</row>
    <row r="617">
      <c r="A617" s="368"/>
      <c r="B617" s="373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</row>
    <row r="618">
      <c r="A618" s="368"/>
      <c r="B618" s="373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</row>
    <row r="619">
      <c r="A619" s="368"/>
      <c r="B619" s="373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</row>
    <row r="620">
      <c r="A620" s="368"/>
      <c r="B620" s="373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</row>
    <row r="621">
      <c r="A621" s="368"/>
      <c r="B621" s="373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</row>
    <row r="622">
      <c r="A622" s="368"/>
      <c r="B622" s="373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</row>
    <row r="623">
      <c r="A623" s="368"/>
      <c r="B623" s="373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</row>
    <row r="624">
      <c r="A624" s="368"/>
      <c r="B624" s="373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</row>
    <row r="625">
      <c r="A625" s="368"/>
      <c r="B625" s="373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</row>
    <row r="626">
      <c r="A626" s="368"/>
      <c r="B626" s="373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</row>
    <row r="627">
      <c r="A627" s="368"/>
      <c r="B627" s="373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</row>
    <row r="628">
      <c r="A628" s="368"/>
      <c r="B628" s="373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</row>
    <row r="629">
      <c r="A629" s="368"/>
      <c r="B629" s="373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</row>
    <row r="630">
      <c r="A630" s="368"/>
      <c r="B630" s="373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</row>
    <row r="631">
      <c r="A631" s="368"/>
      <c r="B631" s="373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</row>
    <row r="632">
      <c r="A632" s="368"/>
      <c r="B632" s="373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</row>
    <row r="633">
      <c r="A633" s="368"/>
      <c r="B633" s="373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</row>
    <row r="634">
      <c r="A634" s="368"/>
      <c r="B634" s="373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</row>
    <row r="635">
      <c r="A635" s="368"/>
      <c r="B635" s="373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</row>
    <row r="636">
      <c r="A636" s="368"/>
      <c r="B636" s="373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</row>
    <row r="637">
      <c r="A637" s="368"/>
      <c r="B637" s="373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</row>
    <row r="638">
      <c r="A638" s="368"/>
      <c r="B638" s="373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</row>
    <row r="639">
      <c r="A639" s="368"/>
      <c r="B639" s="373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</row>
    <row r="640">
      <c r="A640" s="368"/>
      <c r="B640" s="373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</row>
    <row r="641">
      <c r="A641" s="368"/>
      <c r="B641" s="373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</row>
    <row r="642">
      <c r="A642" s="368"/>
      <c r="B642" s="373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</row>
    <row r="643">
      <c r="A643" s="368"/>
      <c r="B643" s="373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</row>
    <row r="644">
      <c r="A644" s="368"/>
      <c r="B644" s="373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</row>
    <row r="645">
      <c r="A645" s="368"/>
      <c r="B645" s="373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</row>
    <row r="646">
      <c r="A646" s="368"/>
      <c r="B646" s="373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</row>
    <row r="647">
      <c r="A647" s="368"/>
      <c r="B647" s="373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</row>
    <row r="648">
      <c r="A648" s="368"/>
      <c r="B648" s="373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</row>
    <row r="649">
      <c r="A649" s="368"/>
      <c r="B649" s="373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</row>
    <row r="650">
      <c r="A650" s="368"/>
      <c r="B650" s="373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</row>
    <row r="651">
      <c r="A651" s="368"/>
      <c r="B651" s="373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</row>
    <row r="652">
      <c r="A652" s="368"/>
      <c r="B652" s="373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</row>
    <row r="653">
      <c r="A653" s="368"/>
      <c r="B653" s="373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</row>
    <row r="654">
      <c r="A654" s="368"/>
      <c r="B654" s="373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</row>
    <row r="655">
      <c r="A655" s="368"/>
      <c r="B655" s="373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</row>
    <row r="656">
      <c r="A656" s="368"/>
      <c r="B656" s="373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</row>
    <row r="657">
      <c r="A657" s="368"/>
      <c r="B657" s="373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</row>
    <row r="658">
      <c r="A658" s="368"/>
      <c r="B658" s="373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</row>
    <row r="659">
      <c r="A659" s="368"/>
      <c r="B659" s="373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</row>
    <row r="660">
      <c r="A660" s="368"/>
      <c r="B660" s="373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</row>
    <row r="661">
      <c r="A661" s="368"/>
      <c r="B661" s="373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</row>
    <row r="662">
      <c r="A662" s="368"/>
      <c r="B662" s="373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</row>
    <row r="663">
      <c r="A663" s="368"/>
      <c r="B663" s="373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</row>
    <row r="664">
      <c r="A664" s="368"/>
      <c r="B664" s="373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</row>
    <row r="665">
      <c r="A665" s="368"/>
      <c r="B665" s="373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</row>
    <row r="666">
      <c r="A666" s="368"/>
      <c r="B666" s="373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</row>
    <row r="667">
      <c r="A667" s="368"/>
      <c r="B667" s="373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</row>
    <row r="668">
      <c r="A668" s="368"/>
      <c r="B668" s="373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</row>
    <row r="669">
      <c r="A669" s="368"/>
      <c r="B669" s="373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</row>
    <row r="670">
      <c r="A670" s="368"/>
      <c r="B670" s="373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</row>
    <row r="671">
      <c r="A671" s="368"/>
      <c r="B671" s="373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</row>
    <row r="672">
      <c r="A672" s="368"/>
      <c r="B672" s="373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</row>
    <row r="673">
      <c r="A673" s="368"/>
      <c r="B673" s="373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</row>
    <row r="674">
      <c r="A674" s="368"/>
      <c r="B674" s="373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</row>
    <row r="675">
      <c r="A675" s="368"/>
      <c r="B675" s="373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</row>
    <row r="676">
      <c r="A676" s="368"/>
      <c r="B676" s="373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</row>
    <row r="677">
      <c r="A677" s="368"/>
      <c r="B677" s="373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</row>
    <row r="678">
      <c r="A678" s="368"/>
      <c r="B678" s="373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</row>
    <row r="679">
      <c r="A679" s="368"/>
      <c r="B679" s="373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</row>
    <row r="680">
      <c r="A680" s="368"/>
      <c r="B680" s="373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</row>
    <row r="681">
      <c r="A681" s="368"/>
      <c r="B681" s="373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</row>
    <row r="682">
      <c r="A682" s="368"/>
      <c r="B682" s="373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</row>
    <row r="683">
      <c r="A683" s="368"/>
      <c r="B683" s="373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</row>
    <row r="684">
      <c r="A684" s="368"/>
      <c r="B684" s="373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</row>
    <row r="685">
      <c r="A685" s="368"/>
      <c r="B685" s="373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</row>
    <row r="686">
      <c r="A686" s="368"/>
      <c r="B686" s="373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</row>
    <row r="687">
      <c r="A687" s="368"/>
      <c r="B687" s="373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</row>
    <row r="688">
      <c r="A688" s="368"/>
      <c r="B688" s="373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</row>
    <row r="689">
      <c r="A689" s="368"/>
      <c r="B689" s="373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</row>
    <row r="690">
      <c r="A690" s="368"/>
      <c r="B690" s="373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</row>
    <row r="691">
      <c r="A691" s="368"/>
      <c r="B691" s="373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</row>
    <row r="692">
      <c r="A692" s="368"/>
      <c r="B692" s="373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</row>
    <row r="693">
      <c r="A693" s="368"/>
      <c r="B693" s="373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</row>
    <row r="694">
      <c r="A694" s="368"/>
      <c r="B694" s="373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</row>
    <row r="695">
      <c r="A695" s="368"/>
      <c r="B695" s="373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</row>
    <row r="696">
      <c r="A696" s="368"/>
      <c r="B696" s="373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</row>
    <row r="697">
      <c r="A697" s="368"/>
      <c r="B697" s="373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</row>
    <row r="698">
      <c r="A698" s="368"/>
      <c r="B698" s="373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</row>
    <row r="699">
      <c r="A699" s="368"/>
      <c r="B699" s="373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</row>
    <row r="700">
      <c r="A700" s="368"/>
      <c r="B700" s="373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</row>
    <row r="701">
      <c r="A701" s="368"/>
      <c r="B701" s="373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</row>
    <row r="702">
      <c r="A702" s="368"/>
      <c r="B702" s="373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</row>
    <row r="703">
      <c r="A703" s="368"/>
      <c r="B703" s="373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</row>
    <row r="704">
      <c r="A704" s="368"/>
      <c r="B704" s="373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</row>
    <row r="705">
      <c r="A705" s="368"/>
      <c r="B705" s="373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</row>
    <row r="706">
      <c r="A706" s="368"/>
      <c r="B706" s="373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</row>
    <row r="707">
      <c r="A707" s="368"/>
      <c r="B707" s="373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</row>
    <row r="708">
      <c r="A708" s="368"/>
      <c r="B708" s="373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</row>
    <row r="709">
      <c r="A709" s="368"/>
      <c r="B709" s="373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</row>
    <row r="710">
      <c r="A710" s="368"/>
      <c r="B710" s="373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</row>
    <row r="711">
      <c r="A711" s="368"/>
      <c r="B711" s="373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</row>
    <row r="712">
      <c r="A712" s="368"/>
      <c r="B712" s="373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</row>
    <row r="713">
      <c r="A713" s="368"/>
      <c r="B713" s="373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</row>
    <row r="714">
      <c r="A714" s="368"/>
      <c r="B714" s="373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</row>
    <row r="715">
      <c r="A715" s="368"/>
      <c r="B715" s="373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</row>
    <row r="716">
      <c r="A716" s="368"/>
      <c r="B716" s="373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</row>
    <row r="717">
      <c r="A717" s="368"/>
      <c r="B717" s="373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</row>
    <row r="718">
      <c r="A718" s="368"/>
      <c r="B718" s="373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</row>
    <row r="719">
      <c r="A719" s="368"/>
      <c r="B719" s="373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</row>
    <row r="720">
      <c r="A720" s="368"/>
      <c r="B720" s="373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</row>
    <row r="721">
      <c r="A721" s="368"/>
      <c r="B721" s="373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</row>
    <row r="722">
      <c r="A722" s="368"/>
      <c r="B722" s="373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</row>
    <row r="723">
      <c r="A723" s="368"/>
      <c r="B723" s="373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</row>
    <row r="724">
      <c r="A724" s="368"/>
      <c r="B724" s="373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</row>
    <row r="725">
      <c r="A725" s="368"/>
      <c r="B725" s="373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</row>
    <row r="726">
      <c r="A726" s="368"/>
      <c r="B726" s="373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</row>
    <row r="727">
      <c r="A727" s="368"/>
      <c r="B727" s="373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</row>
    <row r="728">
      <c r="A728" s="368"/>
      <c r="B728" s="373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</row>
    <row r="729">
      <c r="A729" s="368"/>
      <c r="B729" s="373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</row>
    <row r="730">
      <c r="A730" s="368"/>
      <c r="B730" s="373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</row>
    <row r="731">
      <c r="A731" s="368"/>
      <c r="B731" s="373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</row>
    <row r="732">
      <c r="A732" s="368"/>
      <c r="B732" s="373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</row>
    <row r="733">
      <c r="A733" s="368"/>
      <c r="B733" s="373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</row>
    <row r="734">
      <c r="A734" s="368"/>
      <c r="B734" s="373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</row>
    <row r="735">
      <c r="A735" s="368"/>
      <c r="B735" s="373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</row>
    <row r="736">
      <c r="A736" s="368"/>
      <c r="B736" s="373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</row>
    <row r="737">
      <c r="A737" s="368"/>
      <c r="B737" s="373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</row>
    <row r="738">
      <c r="A738" s="368"/>
      <c r="B738" s="373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</row>
    <row r="739">
      <c r="A739" s="368"/>
      <c r="B739" s="373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</row>
    <row r="740">
      <c r="A740" s="368"/>
      <c r="B740" s="373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</row>
    <row r="741">
      <c r="A741" s="368"/>
      <c r="B741" s="373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</row>
    <row r="742">
      <c r="A742" s="368"/>
      <c r="B742" s="373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</row>
    <row r="743">
      <c r="A743" s="368"/>
      <c r="B743" s="373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</row>
    <row r="744">
      <c r="A744" s="368"/>
      <c r="B744" s="373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</row>
    <row r="745">
      <c r="A745" s="368"/>
      <c r="B745" s="373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</row>
    <row r="746">
      <c r="A746" s="368"/>
      <c r="B746" s="373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</row>
    <row r="747">
      <c r="A747" s="368"/>
      <c r="B747" s="373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</row>
    <row r="748">
      <c r="A748" s="368"/>
      <c r="B748" s="373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</row>
    <row r="749">
      <c r="A749" s="368"/>
      <c r="B749" s="373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</row>
    <row r="750">
      <c r="A750" s="368"/>
      <c r="B750" s="373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</row>
    <row r="751">
      <c r="A751" s="368"/>
      <c r="B751" s="373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</row>
    <row r="752">
      <c r="A752" s="368"/>
      <c r="B752" s="373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</row>
    <row r="753">
      <c r="A753" s="368"/>
      <c r="B753" s="373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</row>
    <row r="754">
      <c r="A754" s="368"/>
      <c r="B754" s="373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</row>
    <row r="755">
      <c r="A755" s="368"/>
      <c r="B755" s="373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</row>
    <row r="756">
      <c r="A756" s="368"/>
      <c r="B756" s="373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</row>
    <row r="757">
      <c r="A757" s="368"/>
      <c r="B757" s="373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</row>
    <row r="758">
      <c r="A758" s="368"/>
      <c r="B758" s="373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</row>
    <row r="759">
      <c r="A759" s="368"/>
      <c r="B759" s="373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</row>
    <row r="760">
      <c r="A760" s="368"/>
      <c r="B760" s="373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</row>
    <row r="761">
      <c r="A761" s="368"/>
      <c r="B761" s="373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</row>
    <row r="762">
      <c r="A762" s="368"/>
      <c r="B762" s="373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</row>
    <row r="763">
      <c r="A763" s="368"/>
      <c r="B763" s="373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</row>
    <row r="764">
      <c r="A764" s="368"/>
      <c r="B764" s="373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</row>
    <row r="765">
      <c r="A765" s="368"/>
      <c r="B765" s="373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</row>
    <row r="766">
      <c r="A766" s="368"/>
      <c r="B766" s="373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</row>
    <row r="767">
      <c r="A767" s="368"/>
      <c r="B767" s="373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</row>
    <row r="768">
      <c r="A768" s="368"/>
      <c r="B768" s="373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</row>
    <row r="769">
      <c r="A769" s="368"/>
      <c r="B769" s="373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</row>
    <row r="770">
      <c r="A770" s="368"/>
      <c r="B770" s="373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</row>
    <row r="771">
      <c r="A771" s="368"/>
      <c r="B771" s="373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</row>
    <row r="772">
      <c r="A772" s="368"/>
      <c r="B772" s="373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</row>
    <row r="773">
      <c r="A773" s="368"/>
      <c r="B773" s="373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</row>
    <row r="774">
      <c r="A774" s="368"/>
      <c r="B774" s="373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</row>
    <row r="775">
      <c r="A775" s="368"/>
      <c r="B775" s="373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</row>
    <row r="776">
      <c r="A776" s="368"/>
      <c r="B776" s="373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</row>
    <row r="777">
      <c r="A777" s="368"/>
      <c r="B777" s="373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</row>
    <row r="778">
      <c r="A778" s="368"/>
      <c r="B778" s="373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</row>
    <row r="779">
      <c r="A779" s="368"/>
      <c r="B779" s="373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</row>
    <row r="780">
      <c r="A780" s="368"/>
      <c r="B780" s="373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</row>
    <row r="781">
      <c r="A781" s="368"/>
      <c r="B781" s="373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</row>
    <row r="782">
      <c r="A782" s="368"/>
      <c r="B782" s="373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</row>
    <row r="783">
      <c r="A783" s="368"/>
      <c r="B783" s="373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</row>
    <row r="784">
      <c r="A784" s="368"/>
      <c r="B784" s="373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</row>
    <row r="785">
      <c r="A785" s="368"/>
      <c r="B785" s="373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</row>
    <row r="786">
      <c r="A786" s="368"/>
      <c r="B786" s="373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</row>
    <row r="787">
      <c r="A787" s="368"/>
      <c r="B787" s="373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</row>
    <row r="788">
      <c r="A788" s="368"/>
      <c r="B788" s="373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</row>
    <row r="789">
      <c r="A789" s="368"/>
      <c r="B789" s="373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</row>
    <row r="790">
      <c r="A790" s="368"/>
      <c r="B790" s="373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</row>
    <row r="791">
      <c r="A791" s="368"/>
      <c r="B791" s="373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</row>
    <row r="792">
      <c r="A792" s="368"/>
      <c r="B792" s="373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</row>
    <row r="793">
      <c r="A793" s="368"/>
      <c r="B793" s="373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</row>
    <row r="794">
      <c r="A794" s="368"/>
      <c r="B794" s="373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</row>
    <row r="795">
      <c r="A795" s="368"/>
      <c r="B795" s="373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</row>
    <row r="796">
      <c r="A796" s="368"/>
      <c r="B796" s="373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</row>
    <row r="797">
      <c r="A797" s="368"/>
      <c r="B797" s="373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</row>
    <row r="798">
      <c r="A798" s="368"/>
      <c r="B798" s="373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</row>
    <row r="799">
      <c r="A799" s="368"/>
      <c r="B799" s="373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</row>
    <row r="800">
      <c r="A800" s="368"/>
      <c r="B800" s="373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</row>
    <row r="801">
      <c r="A801" s="368"/>
      <c r="B801" s="373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</row>
    <row r="802">
      <c r="A802" s="368"/>
      <c r="B802" s="373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</row>
    <row r="803">
      <c r="A803" s="368"/>
      <c r="B803" s="373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</row>
    <row r="804">
      <c r="A804" s="368"/>
      <c r="B804" s="373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</row>
    <row r="805">
      <c r="A805" s="368"/>
      <c r="B805" s="373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</row>
    <row r="806">
      <c r="A806" s="368"/>
      <c r="B806" s="373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</row>
    <row r="807">
      <c r="A807" s="368"/>
      <c r="B807" s="373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</row>
    <row r="808">
      <c r="A808" s="368"/>
      <c r="B808" s="373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</row>
    <row r="809">
      <c r="A809" s="368"/>
      <c r="B809" s="373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</row>
    <row r="810">
      <c r="A810" s="368"/>
      <c r="B810" s="373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</row>
    <row r="811">
      <c r="A811" s="368"/>
      <c r="B811" s="373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</row>
    <row r="812">
      <c r="A812" s="368"/>
      <c r="B812" s="373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</row>
    <row r="813">
      <c r="A813" s="368"/>
      <c r="B813" s="373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</row>
    <row r="814">
      <c r="A814" s="368"/>
      <c r="B814" s="373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</row>
    <row r="815">
      <c r="A815" s="368"/>
      <c r="B815" s="373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</row>
    <row r="816">
      <c r="A816" s="368"/>
      <c r="B816" s="373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</row>
    <row r="817">
      <c r="A817" s="368"/>
      <c r="B817" s="373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</row>
    <row r="818">
      <c r="A818" s="368"/>
      <c r="B818" s="373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</row>
    <row r="819">
      <c r="A819" s="368"/>
      <c r="B819" s="373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</row>
    <row r="820">
      <c r="A820" s="368"/>
      <c r="B820" s="373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</row>
    <row r="821">
      <c r="A821" s="368"/>
      <c r="B821" s="373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</row>
    <row r="822">
      <c r="A822" s="368"/>
      <c r="B822" s="373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</row>
    <row r="823">
      <c r="A823" s="368"/>
      <c r="B823" s="373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</row>
    <row r="824">
      <c r="A824" s="368"/>
      <c r="B824" s="373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</row>
    <row r="825">
      <c r="A825" s="368"/>
      <c r="B825" s="373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</row>
    <row r="826">
      <c r="A826" s="368"/>
      <c r="B826" s="373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</row>
    <row r="827">
      <c r="A827" s="368"/>
      <c r="B827" s="373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</row>
    <row r="828">
      <c r="A828" s="368"/>
      <c r="B828" s="373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</row>
    <row r="829">
      <c r="A829" s="368"/>
      <c r="B829" s="373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</row>
    <row r="830">
      <c r="A830" s="368"/>
      <c r="B830" s="373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</row>
    <row r="831">
      <c r="A831" s="368"/>
      <c r="B831" s="373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</row>
    <row r="832">
      <c r="A832" s="368"/>
      <c r="B832" s="373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</row>
    <row r="833">
      <c r="A833" s="368"/>
      <c r="B833" s="373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</row>
    <row r="834">
      <c r="A834" s="368"/>
      <c r="B834" s="373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</row>
    <row r="835">
      <c r="A835" s="368"/>
      <c r="B835" s="373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</row>
    <row r="836">
      <c r="A836" s="368"/>
      <c r="B836" s="373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</row>
    <row r="837">
      <c r="A837" s="368"/>
      <c r="B837" s="373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</row>
    <row r="838">
      <c r="A838" s="368"/>
      <c r="B838" s="373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</row>
    <row r="839">
      <c r="A839" s="368"/>
      <c r="B839" s="373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</row>
    <row r="840">
      <c r="A840" s="368"/>
      <c r="B840" s="373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</row>
    <row r="841">
      <c r="A841" s="368"/>
      <c r="B841" s="373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</row>
    <row r="842">
      <c r="A842" s="368"/>
      <c r="B842" s="373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</row>
    <row r="843">
      <c r="A843" s="368"/>
      <c r="B843" s="373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</row>
    <row r="844">
      <c r="A844" s="368"/>
      <c r="B844" s="373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</row>
    <row r="845">
      <c r="A845" s="368"/>
      <c r="B845" s="373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</row>
    <row r="846">
      <c r="A846" s="368"/>
      <c r="B846" s="373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</row>
    <row r="847">
      <c r="A847" s="368"/>
      <c r="B847" s="373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</row>
    <row r="848">
      <c r="A848" s="368"/>
      <c r="B848" s="373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</row>
    <row r="849">
      <c r="A849" s="368"/>
      <c r="B849" s="373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</row>
    <row r="850">
      <c r="A850" s="368"/>
      <c r="B850" s="373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</row>
    <row r="851">
      <c r="A851" s="368"/>
      <c r="B851" s="373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</row>
    <row r="852">
      <c r="A852" s="368"/>
      <c r="B852" s="373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</row>
    <row r="853">
      <c r="A853" s="368"/>
      <c r="B853" s="373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</row>
    <row r="854">
      <c r="A854" s="368"/>
      <c r="B854" s="373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</row>
    <row r="855">
      <c r="A855" s="368"/>
      <c r="B855" s="373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</row>
    <row r="856">
      <c r="A856" s="368"/>
      <c r="B856" s="373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</row>
    <row r="857">
      <c r="A857" s="368"/>
      <c r="B857" s="373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</row>
    <row r="858">
      <c r="A858" s="368"/>
      <c r="B858" s="373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</row>
    <row r="859">
      <c r="A859" s="368"/>
      <c r="B859" s="373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</row>
    <row r="860">
      <c r="A860" s="368"/>
      <c r="B860" s="373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</row>
    <row r="861">
      <c r="A861" s="368"/>
      <c r="B861" s="373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</row>
    <row r="862">
      <c r="A862" s="368"/>
      <c r="B862" s="373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</row>
    <row r="863">
      <c r="A863" s="368"/>
      <c r="B863" s="373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</row>
    <row r="864">
      <c r="A864" s="368"/>
      <c r="B864" s="373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</row>
    <row r="865">
      <c r="A865" s="368"/>
      <c r="B865" s="373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</row>
    <row r="866">
      <c r="A866" s="368"/>
      <c r="B866" s="373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</row>
    <row r="867">
      <c r="A867" s="368"/>
      <c r="B867" s="373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</row>
    <row r="868">
      <c r="A868" s="368"/>
      <c r="B868" s="373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</row>
    <row r="869">
      <c r="A869" s="368"/>
      <c r="B869" s="373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</row>
    <row r="870">
      <c r="A870" s="368"/>
      <c r="B870" s="373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</row>
    <row r="871">
      <c r="A871" s="368"/>
      <c r="B871" s="373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</row>
    <row r="872">
      <c r="A872" s="368"/>
      <c r="B872" s="373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</row>
    <row r="873">
      <c r="A873" s="368"/>
      <c r="B873" s="373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</row>
    <row r="874">
      <c r="A874" s="368"/>
      <c r="B874" s="373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</row>
    <row r="875">
      <c r="A875" s="368"/>
      <c r="B875" s="373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</row>
    <row r="876">
      <c r="A876" s="368"/>
      <c r="B876" s="373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</row>
    <row r="877">
      <c r="A877" s="368"/>
      <c r="B877" s="373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</row>
    <row r="878">
      <c r="A878" s="368"/>
      <c r="B878" s="373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</row>
    <row r="879">
      <c r="A879" s="368"/>
      <c r="B879" s="373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</row>
    <row r="880">
      <c r="A880" s="368"/>
      <c r="B880" s="373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</row>
    <row r="881">
      <c r="A881" s="368"/>
      <c r="B881" s="373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</row>
    <row r="882">
      <c r="A882" s="368"/>
      <c r="B882" s="373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</row>
    <row r="883">
      <c r="A883" s="368"/>
      <c r="B883" s="373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</row>
    <row r="884">
      <c r="A884" s="368"/>
      <c r="B884" s="373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</row>
    <row r="885">
      <c r="A885" s="368"/>
      <c r="B885" s="373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</row>
    <row r="886">
      <c r="A886" s="368"/>
      <c r="B886" s="373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</row>
    <row r="887">
      <c r="A887" s="368"/>
      <c r="B887" s="373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</row>
    <row r="888">
      <c r="A888" s="368"/>
      <c r="B888" s="373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</row>
    <row r="889">
      <c r="A889" s="368"/>
      <c r="B889" s="373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</row>
    <row r="890">
      <c r="A890" s="368"/>
      <c r="B890" s="373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</row>
    <row r="891">
      <c r="A891" s="368"/>
      <c r="B891" s="373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</row>
    <row r="892">
      <c r="A892" s="368"/>
      <c r="B892" s="373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</row>
    <row r="893">
      <c r="A893" s="368"/>
      <c r="B893" s="373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</row>
    <row r="894">
      <c r="A894" s="368"/>
      <c r="B894" s="373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</row>
    <row r="895">
      <c r="A895" s="368"/>
      <c r="B895" s="373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</row>
    <row r="896">
      <c r="A896" s="368"/>
      <c r="B896" s="373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</row>
    <row r="897">
      <c r="A897" s="368"/>
      <c r="B897" s="373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</row>
    <row r="898">
      <c r="A898" s="368"/>
      <c r="B898" s="373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</row>
    <row r="899">
      <c r="A899" s="368"/>
      <c r="B899" s="373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</row>
    <row r="900">
      <c r="A900" s="368"/>
      <c r="B900" s="373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</row>
    <row r="901">
      <c r="A901" s="368"/>
      <c r="B901" s="373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</row>
    <row r="902">
      <c r="A902" s="368"/>
      <c r="B902" s="373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</row>
    <row r="903">
      <c r="A903" s="368"/>
      <c r="B903" s="373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</row>
    <row r="904">
      <c r="A904" s="368"/>
      <c r="B904" s="373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</row>
    <row r="905">
      <c r="A905" s="368"/>
      <c r="B905" s="373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</row>
    <row r="906">
      <c r="A906" s="368"/>
      <c r="B906" s="373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</row>
    <row r="907">
      <c r="A907" s="368"/>
      <c r="B907" s="373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8"/>
    </row>
    <row r="908">
      <c r="A908" s="368"/>
      <c r="B908" s="373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8"/>
    </row>
    <row r="909">
      <c r="A909" s="368"/>
      <c r="B909" s="373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8"/>
    </row>
    <row r="910">
      <c r="A910" s="368"/>
      <c r="B910" s="373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8"/>
    </row>
    <row r="911">
      <c r="A911" s="368"/>
      <c r="B911" s="373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8"/>
    </row>
    <row r="912">
      <c r="A912" s="368"/>
      <c r="B912" s="373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8"/>
    </row>
    <row r="913">
      <c r="A913" s="368"/>
      <c r="B913" s="373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8"/>
    </row>
    <row r="914">
      <c r="A914" s="368"/>
      <c r="B914" s="373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8"/>
    </row>
    <row r="915">
      <c r="A915" s="368"/>
      <c r="B915" s="373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8"/>
    </row>
    <row r="916">
      <c r="A916" s="368"/>
      <c r="B916" s="373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8"/>
    </row>
    <row r="917">
      <c r="A917" s="368"/>
      <c r="B917" s="373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8"/>
    </row>
    <row r="918">
      <c r="A918" s="368"/>
      <c r="B918" s="373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8"/>
    </row>
    <row r="919">
      <c r="A919" s="368"/>
      <c r="B919" s="373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8"/>
    </row>
    <row r="920">
      <c r="A920" s="368"/>
      <c r="B920" s="373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8"/>
    </row>
    <row r="921">
      <c r="A921" s="368"/>
      <c r="B921" s="373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8"/>
    </row>
    <row r="922">
      <c r="A922" s="368"/>
      <c r="B922" s="373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8"/>
    </row>
    <row r="923">
      <c r="A923" s="368"/>
      <c r="B923" s="373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8"/>
    </row>
    <row r="924">
      <c r="A924" s="368"/>
      <c r="B924" s="373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8"/>
    </row>
    <row r="925">
      <c r="A925" s="368"/>
      <c r="B925" s="373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8"/>
    </row>
    <row r="926">
      <c r="A926" s="368"/>
      <c r="B926" s="373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8"/>
    </row>
    <row r="927">
      <c r="A927" s="368"/>
      <c r="B927" s="373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8"/>
    </row>
    <row r="928">
      <c r="A928" s="368"/>
      <c r="B928" s="373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8"/>
    </row>
    <row r="929">
      <c r="A929" s="368"/>
      <c r="B929" s="373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8"/>
    </row>
    <row r="930">
      <c r="A930" s="368"/>
      <c r="B930" s="373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8"/>
    </row>
    <row r="931">
      <c r="A931" s="368"/>
      <c r="B931" s="373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8"/>
    </row>
    <row r="932">
      <c r="A932" s="368"/>
      <c r="B932" s="373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8"/>
    </row>
    <row r="933">
      <c r="A933" s="368"/>
      <c r="B933" s="373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8"/>
    </row>
    <row r="934">
      <c r="A934" s="368"/>
      <c r="B934" s="373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8"/>
    </row>
    <row r="935">
      <c r="A935" s="368"/>
      <c r="B935" s="373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8"/>
    </row>
    <row r="936">
      <c r="A936" s="368"/>
      <c r="B936" s="373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8"/>
    </row>
    <row r="937">
      <c r="A937" s="368"/>
      <c r="B937" s="373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8"/>
    </row>
    <row r="938">
      <c r="A938" s="368"/>
      <c r="B938" s="373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8"/>
    </row>
    <row r="939">
      <c r="A939" s="368"/>
      <c r="B939" s="373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8"/>
    </row>
    <row r="940">
      <c r="A940" s="368"/>
      <c r="B940" s="373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8"/>
    </row>
    <row r="941">
      <c r="A941" s="368"/>
      <c r="B941" s="373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8"/>
    </row>
    <row r="942">
      <c r="A942" s="368"/>
      <c r="B942" s="373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8"/>
    </row>
    <row r="943">
      <c r="A943" s="368"/>
      <c r="B943" s="373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8"/>
    </row>
    <row r="944">
      <c r="A944" s="368"/>
      <c r="B944" s="373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8"/>
    </row>
    <row r="945">
      <c r="A945" s="368"/>
      <c r="B945" s="373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8"/>
    </row>
    <row r="946">
      <c r="A946" s="368"/>
      <c r="B946" s="373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8"/>
    </row>
    <row r="947">
      <c r="A947" s="368"/>
      <c r="B947" s="373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8"/>
    </row>
    <row r="948">
      <c r="A948" s="368"/>
      <c r="B948" s="373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8"/>
    </row>
    <row r="949">
      <c r="A949" s="368"/>
      <c r="B949" s="373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8"/>
    </row>
    <row r="950">
      <c r="A950" s="368"/>
      <c r="B950" s="373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8"/>
    </row>
    <row r="951">
      <c r="A951" s="368"/>
      <c r="B951" s="373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8"/>
    </row>
    <row r="952">
      <c r="A952" s="368"/>
      <c r="B952" s="373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8"/>
    </row>
    <row r="953">
      <c r="A953" s="368"/>
      <c r="B953" s="373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8"/>
    </row>
    <row r="954">
      <c r="A954" s="368"/>
      <c r="B954" s="373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8"/>
    </row>
    <row r="955">
      <c r="A955" s="368"/>
      <c r="B955" s="373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8"/>
    </row>
    <row r="956">
      <c r="A956" s="368"/>
      <c r="B956" s="373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8"/>
    </row>
    <row r="957">
      <c r="A957" s="368"/>
      <c r="B957" s="373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8"/>
    </row>
    <row r="958">
      <c r="A958" s="368"/>
      <c r="B958" s="373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8"/>
    </row>
    <row r="959">
      <c r="A959" s="368"/>
      <c r="B959" s="373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8"/>
    </row>
    <row r="960">
      <c r="A960" s="368"/>
      <c r="B960" s="373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8"/>
    </row>
    <row r="961">
      <c r="A961" s="368"/>
      <c r="B961" s="373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8"/>
    </row>
    <row r="962">
      <c r="A962" s="368"/>
      <c r="B962" s="373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8"/>
    </row>
    <row r="963">
      <c r="A963" s="368"/>
      <c r="B963" s="373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8"/>
    </row>
    <row r="964">
      <c r="A964" s="368"/>
      <c r="B964" s="373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8"/>
    </row>
    <row r="965">
      <c r="A965" s="368"/>
      <c r="B965" s="373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8"/>
    </row>
    <row r="966">
      <c r="A966" s="368"/>
      <c r="B966" s="373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8"/>
    </row>
    <row r="967">
      <c r="A967" s="368"/>
      <c r="B967" s="373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8"/>
    </row>
    <row r="968">
      <c r="A968" s="368"/>
      <c r="B968" s="373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8"/>
    </row>
    <row r="969">
      <c r="A969" s="368"/>
      <c r="B969" s="373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8"/>
    </row>
    <row r="970">
      <c r="A970" s="368"/>
      <c r="B970" s="373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8"/>
    </row>
    <row r="971">
      <c r="A971" s="368"/>
      <c r="B971" s="373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8"/>
    </row>
    <row r="972">
      <c r="A972" s="368"/>
      <c r="B972" s="373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8"/>
    </row>
    <row r="973">
      <c r="A973" s="368"/>
      <c r="B973" s="373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8"/>
    </row>
    <row r="974">
      <c r="A974" s="368"/>
      <c r="B974" s="373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8"/>
    </row>
    <row r="975">
      <c r="A975" s="368"/>
      <c r="B975" s="373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8"/>
    </row>
    <row r="976">
      <c r="A976" s="368"/>
      <c r="B976" s="373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8"/>
    </row>
    <row r="977">
      <c r="A977" s="368"/>
      <c r="B977" s="373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8"/>
    </row>
    <row r="978">
      <c r="A978" s="368"/>
      <c r="B978" s="373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8"/>
    </row>
    <row r="979">
      <c r="A979" s="368"/>
      <c r="B979" s="373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8"/>
    </row>
    <row r="980">
      <c r="A980" s="368"/>
      <c r="B980" s="373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8"/>
    </row>
    <row r="981">
      <c r="A981" s="368"/>
      <c r="B981" s="373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8"/>
    </row>
    <row r="982">
      <c r="A982" s="368"/>
      <c r="B982" s="373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8"/>
    </row>
    <row r="983">
      <c r="A983" s="368"/>
      <c r="B983" s="373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8"/>
    </row>
    <row r="984">
      <c r="A984" s="368"/>
      <c r="B984" s="373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8"/>
    </row>
    <row r="985">
      <c r="A985" s="368"/>
      <c r="B985" s="373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8"/>
    </row>
    <row r="986">
      <c r="A986" s="368"/>
      <c r="B986" s="373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8"/>
    </row>
    <row r="987">
      <c r="A987" s="368"/>
      <c r="B987" s="373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8"/>
    </row>
    <row r="988">
      <c r="A988" s="368"/>
      <c r="B988" s="373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8"/>
    </row>
    <row r="989">
      <c r="A989" s="368"/>
      <c r="B989" s="373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8"/>
    </row>
    <row r="990">
      <c r="A990" s="368"/>
      <c r="B990" s="373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8"/>
    </row>
    <row r="991">
      <c r="A991" s="368"/>
      <c r="B991" s="373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8"/>
    </row>
    <row r="992">
      <c r="A992" s="368"/>
      <c r="B992" s="373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8"/>
    </row>
    <row r="993">
      <c r="A993" s="368"/>
      <c r="B993" s="373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8"/>
    </row>
    <row r="994">
      <c r="A994" s="368"/>
      <c r="B994" s="373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8"/>
    </row>
    <row r="995">
      <c r="A995" s="368"/>
      <c r="B995" s="373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8"/>
    </row>
    <row r="996">
      <c r="A996" s="368"/>
      <c r="B996" s="373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8"/>
    </row>
    <row r="997">
      <c r="A997" s="368"/>
      <c r="B997" s="373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8"/>
    </row>
    <row r="998">
      <c r="A998" s="368"/>
      <c r="B998" s="373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8"/>
    </row>
    <row r="999">
      <c r="A999" s="368"/>
      <c r="B999" s="373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8"/>
    </row>
    <row r="1000">
      <c r="A1000" s="368"/>
      <c r="B1000" s="373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8"/>
    </row>
    <row r="1001">
      <c r="A1001" s="368"/>
      <c r="B1001" s="373"/>
      <c r="C1001" s="368"/>
      <c r="D1001" s="368"/>
      <c r="E1001" s="368"/>
      <c r="F1001" s="368"/>
      <c r="G1001" s="368"/>
      <c r="H1001" s="368"/>
      <c r="I1001" s="368"/>
      <c r="J1001" s="368"/>
      <c r="K1001" s="368"/>
      <c r="L1001" s="368"/>
      <c r="M1001" s="368"/>
      <c r="N1001" s="368"/>
      <c r="O1001" s="368"/>
      <c r="P1001" s="368"/>
      <c r="Q1001" s="368"/>
      <c r="R1001" s="368"/>
      <c r="S1001" s="368"/>
      <c r="T1001" s="368"/>
      <c r="U1001" s="368"/>
      <c r="V1001" s="368"/>
      <c r="W1001" s="368"/>
      <c r="X1001" s="368"/>
      <c r="Y1001" s="368"/>
      <c r="Z1001" s="368"/>
    </row>
    <row r="1002">
      <c r="A1002" s="368"/>
      <c r="B1002" s="373"/>
      <c r="C1002" s="368"/>
      <c r="D1002" s="368"/>
      <c r="E1002" s="368"/>
      <c r="F1002" s="368"/>
      <c r="G1002" s="368"/>
      <c r="H1002" s="368"/>
      <c r="I1002" s="368"/>
      <c r="J1002" s="368"/>
      <c r="K1002" s="368"/>
      <c r="L1002" s="368"/>
      <c r="M1002" s="368"/>
      <c r="N1002" s="368"/>
      <c r="O1002" s="368"/>
      <c r="P1002" s="368"/>
      <c r="Q1002" s="368"/>
      <c r="R1002" s="368"/>
      <c r="S1002" s="368"/>
      <c r="T1002" s="368"/>
      <c r="U1002" s="368"/>
      <c r="V1002" s="368"/>
      <c r="W1002" s="368"/>
      <c r="X1002" s="368"/>
      <c r="Y1002" s="368"/>
      <c r="Z1002" s="368"/>
    </row>
    <row r="1003">
      <c r="A1003" s="368"/>
      <c r="B1003" s="373"/>
      <c r="C1003" s="368"/>
      <c r="D1003" s="368"/>
      <c r="E1003" s="368"/>
      <c r="F1003" s="368"/>
      <c r="G1003" s="368"/>
      <c r="H1003" s="368"/>
      <c r="I1003" s="368"/>
      <c r="J1003" s="368"/>
      <c r="K1003" s="368"/>
      <c r="L1003" s="368"/>
      <c r="M1003" s="368"/>
      <c r="N1003" s="368"/>
      <c r="O1003" s="368"/>
      <c r="P1003" s="368"/>
      <c r="Q1003" s="368"/>
      <c r="R1003" s="368"/>
      <c r="S1003" s="368"/>
      <c r="T1003" s="368"/>
      <c r="U1003" s="368"/>
      <c r="V1003" s="368"/>
      <c r="W1003" s="368"/>
      <c r="X1003" s="368"/>
      <c r="Y1003" s="368"/>
      <c r="Z1003" s="368"/>
    </row>
    <row r="1004">
      <c r="A1004" s="368"/>
      <c r="B1004" s="373"/>
      <c r="C1004" s="368"/>
      <c r="D1004" s="368"/>
      <c r="E1004" s="368"/>
      <c r="F1004" s="368"/>
      <c r="G1004" s="368"/>
      <c r="H1004" s="368"/>
      <c r="I1004" s="368"/>
      <c r="J1004" s="368"/>
      <c r="K1004" s="368"/>
      <c r="L1004" s="368"/>
      <c r="M1004" s="368"/>
      <c r="N1004" s="368"/>
      <c r="O1004" s="368"/>
      <c r="P1004" s="368"/>
      <c r="Q1004" s="368"/>
      <c r="R1004" s="368"/>
      <c r="S1004" s="368"/>
      <c r="T1004" s="368"/>
      <c r="U1004" s="368"/>
      <c r="V1004" s="368"/>
      <c r="W1004" s="368"/>
      <c r="X1004" s="368"/>
      <c r="Y1004" s="368"/>
      <c r="Z1004" s="368"/>
    </row>
    <row r="1005">
      <c r="A1005" s="368"/>
      <c r="B1005" s="373"/>
      <c r="C1005" s="368"/>
      <c r="D1005" s="368"/>
      <c r="E1005" s="368"/>
      <c r="F1005" s="368"/>
      <c r="G1005" s="368"/>
      <c r="H1005" s="368"/>
      <c r="I1005" s="368"/>
      <c r="J1005" s="368"/>
      <c r="K1005" s="368"/>
      <c r="L1005" s="368"/>
      <c r="M1005" s="368"/>
      <c r="N1005" s="368"/>
      <c r="O1005" s="368"/>
      <c r="P1005" s="368"/>
      <c r="Q1005" s="368"/>
      <c r="R1005" s="368"/>
      <c r="S1005" s="368"/>
      <c r="T1005" s="368"/>
      <c r="U1005" s="368"/>
      <c r="V1005" s="368"/>
      <c r="W1005" s="368"/>
      <c r="X1005" s="368"/>
      <c r="Y1005" s="368"/>
      <c r="Z1005" s="368"/>
    </row>
    <row r="1006">
      <c r="A1006" s="368"/>
      <c r="B1006" s="373"/>
      <c r="C1006" s="368"/>
      <c r="D1006" s="368"/>
      <c r="E1006" s="368"/>
      <c r="F1006" s="368"/>
      <c r="G1006" s="368"/>
      <c r="H1006" s="368"/>
      <c r="I1006" s="368"/>
      <c r="J1006" s="368"/>
      <c r="K1006" s="368"/>
      <c r="L1006" s="368"/>
      <c r="M1006" s="368"/>
      <c r="N1006" s="368"/>
      <c r="O1006" s="368"/>
      <c r="P1006" s="368"/>
      <c r="Q1006" s="368"/>
      <c r="R1006" s="368"/>
      <c r="S1006" s="368"/>
      <c r="T1006" s="368"/>
      <c r="U1006" s="368"/>
      <c r="V1006" s="368"/>
      <c r="W1006" s="368"/>
      <c r="X1006" s="368"/>
      <c r="Y1006" s="368"/>
      <c r="Z1006" s="368"/>
    </row>
    <row r="1007">
      <c r="A1007" s="322"/>
      <c r="B1007" s="373"/>
      <c r="C1007" s="322"/>
      <c r="D1007" s="322"/>
      <c r="E1007" s="322"/>
      <c r="F1007" s="322"/>
      <c r="G1007" s="322"/>
      <c r="H1007" s="322"/>
      <c r="I1007" s="322"/>
      <c r="J1007" s="322"/>
      <c r="K1007" s="322"/>
      <c r="L1007" s="322"/>
      <c r="M1007" s="322"/>
      <c r="N1007" s="322"/>
      <c r="O1007" s="322"/>
      <c r="P1007" s="322"/>
      <c r="Q1007" s="322"/>
      <c r="R1007" s="322"/>
      <c r="S1007" s="322"/>
      <c r="T1007" s="322"/>
      <c r="U1007" s="322"/>
      <c r="V1007" s="322"/>
      <c r="W1007" s="322"/>
      <c r="X1007" s="322"/>
      <c r="Y1007" s="322"/>
      <c r="Z1007" s="322"/>
    </row>
    <row r="1008">
      <c r="A1008" s="322"/>
      <c r="B1008" s="373"/>
      <c r="C1008" s="322"/>
      <c r="D1008" s="322"/>
      <c r="E1008" s="322"/>
      <c r="F1008" s="322"/>
      <c r="G1008" s="322"/>
      <c r="H1008" s="322"/>
      <c r="I1008" s="322"/>
      <c r="J1008" s="322"/>
      <c r="K1008" s="322"/>
      <c r="L1008" s="322"/>
      <c r="M1008" s="322"/>
      <c r="N1008" s="322"/>
      <c r="O1008" s="322"/>
      <c r="P1008" s="322"/>
      <c r="Q1008" s="322"/>
      <c r="R1008" s="322"/>
      <c r="S1008" s="322"/>
      <c r="T1008" s="322"/>
      <c r="U1008" s="322"/>
      <c r="V1008" s="322"/>
      <c r="W1008" s="322"/>
      <c r="X1008" s="322"/>
      <c r="Y1008" s="322"/>
      <c r="Z1008" s="3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13"/>
    <col customWidth="1" min="3" max="4" width="19.63"/>
  </cols>
  <sheetData>
    <row r="1">
      <c r="A1" s="368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</row>
    <row r="2">
      <c r="A2" s="368"/>
      <c r="B2" s="375"/>
      <c r="C2" s="375"/>
      <c r="D2" s="375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  <c r="AA2" s="368"/>
    </row>
    <row r="3">
      <c r="A3" s="376"/>
      <c r="B3" s="395" t="s">
        <v>7</v>
      </c>
      <c r="C3" s="396" t="s">
        <v>46</v>
      </c>
      <c r="D3" s="397" t="s">
        <v>50</v>
      </c>
      <c r="E3" s="367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</row>
    <row r="4" ht="31.5" customHeight="1">
      <c r="A4" s="376"/>
      <c r="B4" s="392" t="s">
        <v>376</v>
      </c>
      <c r="C4" s="398"/>
      <c r="D4" s="394"/>
      <c r="E4" s="367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68"/>
    </row>
    <row r="5" ht="31.5" customHeight="1">
      <c r="A5" s="376"/>
      <c r="B5" s="392" t="s">
        <v>377</v>
      </c>
      <c r="C5" s="398"/>
      <c r="D5" s="394"/>
      <c r="E5" s="367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</row>
    <row r="6" ht="31.5" customHeight="1">
      <c r="A6" s="376"/>
      <c r="B6" s="392" t="s">
        <v>378</v>
      </c>
      <c r="C6" s="398"/>
      <c r="D6" s="394"/>
      <c r="E6" s="367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  <c r="AA6" s="368"/>
    </row>
    <row r="7" ht="31.5" customHeight="1">
      <c r="A7" s="376"/>
      <c r="B7" s="392" t="s">
        <v>379</v>
      </c>
      <c r="C7" s="399" t="s">
        <v>380</v>
      </c>
      <c r="D7" s="394"/>
      <c r="E7" s="367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</row>
    <row r="8" ht="31.5" customHeight="1">
      <c r="A8" s="376"/>
      <c r="B8" s="392" t="s">
        <v>381</v>
      </c>
      <c r="C8" s="398"/>
      <c r="D8" s="394"/>
      <c r="E8" s="367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</row>
    <row r="9" ht="31.5" customHeight="1">
      <c r="A9" s="376"/>
      <c r="B9" s="392" t="s">
        <v>382</v>
      </c>
      <c r="C9" s="398"/>
      <c r="D9" s="394"/>
      <c r="E9" s="367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  <c r="AA9" s="368"/>
    </row>
    <row r="10" ht="31.5" customHeight="1">
      <c r="A10" s="376"/>
      <c r="B10" s="392" t="s">
        <v>383</v>
      </c>
      <c r="C10" s="398"/>
      <c r="D10" s="394"/>
      <c r="E10" s="367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  <c r="AA10" s="368"/>
    </row>
    <row r="11" ht="31.5" customHeight="1">
      <c r="A11" s="376"/>
      <c r="B11" s="392" t="s">
        <v>384</v>
      </c>
      <c r="C11" s="398"/>
      <c r="D11" s="394"/>
      <c r="E11" s="367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</row>
    <row r="12" ht="31.5" customHeight="1">
      <c r="A12" s="376"/>
      <c r="B12" s="392" t="s">
        <v>385</v>
      </c>
      <c r="C12" s="398"/>
      <c r="D12" s="394"/>
      <c r="E12" s="367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</row>
    <row r="13" ht="31.5" customHeight="1">
      <c r="A13" s="376"/>
      <c r="B13" s="392" t="s">
        <v>386</v>
      </c>
      <c r="C13" s="398"/>
      <c r="D13" s="394"/>
      <c r="E13" s="367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</row>
    <row r="14" ht="31.5" customHeight="1">
      <c r="A14" s="376"/>
      <c r="B14" s="392" t="s">
        <v>387</v>
      </c>
      <c r="C14" s="399" t="s">
        <v>380</v>
      </c>
      <c r="D14" s="394"/>
      <c r="E14" s="367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  <c r="AA14" s="368"/>
    </row>
    <row r="15" ht="31.5" customHeight="1">
      <c r="A15" s="376"/>
      <c r="B15" s="392" t="s">
        <v>388</v>
      </c>
      <c r="C15" s="398"/>
      <c r="D15" s="394"/>
      <c r="E15" s="367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  <c r="AA15" s="368"/>
    </row>
    <row r="16" ht="31.5" customHeight="1">
      <c r="A16" s="376"/>
      <c r="B16" s="392" t="s">
        <v>389</v>
      </c>
      <c r="C16" s="398"/>
      <c r="D16" s="394"/>
      <c r="E16" s="367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  <c r="AA16" s="368"/>
    </row>
    <row r="17" ht="31.5" customHeight="1">
      <c r="A17" s="376"/>
      <c r="B17" s="392" t="s">
        <v>390</v>
      </c>
      <c r="C17" s="398"/>
      <c r="D17" s="394"/>
      <c r="E17" s="367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</row>
    <row r="18" ht="31.5" customHeight="1">
      <c r="A18" s="376"/>
      <c r="B18" s="392" t="s">
        <v>391</v>
      </c>
      <c r="C18" s="399" t="s">
        <v>380</v>
      </c>
      <c r="D18" s="394"/>
      <c r="E18" s="367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  <c r="AA18" s="368"/>
    </row>
    <row r="19" ht="31.5" customHeight="1">
      <c r="A19" s="376"/>
      <c r="B19" s="392" t="s">
        <v>392</v>
      </c>
      <c r="C19" s="398"/>
      <c r="D19" s="394"/>
      <c r="E19" s="367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368"/>
    </row>
    <row r="20" ht="31.5" customHeight="1">
      <c r="A20" s="376"/>
      <c r="B20" s="392" t="s">
        <v>393</v>
      </c>
      <c r="C20" s="398"/>
      <c r="D20" s="394"/>
      <c r="E20" s="367"/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</row>
    <row r="21" ht="31.5" customHeight="1">
      <c r="A21" s="376"/>
      <c r="B21" s="392" t="s">
        <v>394</v>
      </c>
      <c r="C21" s="398"/>
      <c r="D21" s="394"/>
      <c r="E21" s="367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</row>
    <row r="22" ht="31.5" customHeight="1">
      <c r="A22" s="376"/>
      <c r="B22" s="392" t="s">
        <v>395</v>
      </c>
      <c r="C22" s="398"/>
      <c r="D22" s="394"/>
      <c r="E22" s="367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  <c r="AA22" s="368"/>
    </row>
    <row r="23" ht="31.5" customHeight="1">
      <c r="A23" s="376"/>
      <c r="B23" s="401"/>
      <c r="C23" s="398"/>
      <c r="D23" s="394"/>
      <c r="E23" s="367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</row>
    <row r="24" ht="31.5" customHeight="1">
      <c r="A24" s="376"/>
      <c r="B24" s="401"/>
      <c r="C24" s="398"/>
      <c r="D24" s="394"/>
      <c r="E24" s="367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  <c r="AA24" s="368"/>
    </row>
    <row r="25" ht="31.5" customHeight="1">
      <c r="A25" s="376"/>
      <c r="B25" s="401"/>
      <c r="C25" s="398"/>
      <c r="D25" s="394"/>
      <c r="E25" s="367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</row>
    <row r="26" ht="31.5" customHeight="1">
      <c r="A26" s="376"/>
      <c r="B26" s="401"/>
      <c r="C26" s="398"/>
      <c r="D26" s="394"/>
      <c r="E26" s="367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  <c r="AA26" s="368"/>
    </row>
    <row r="27" ht="31.5" customHeight="1">
      <c r="A27" s="376"/>
      <c r="B27" s="401"/>
      <c r="C27" s="398"/>
      <c r="D27" s="394"/>
      <c r="E27" s="367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  <c r="AA27" s="368"/>
    </row>
    <row r="28" ht="31.5" customHeight="1">
      <c r="A28" s="376"/>
      <c r="B28" s="401"/>
      <c r="C28" s="398"/>
      <c r="D28" s="394"/>
      <c r="E28" s="367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</row>
    <row r="29" ht="31.5" customHeight="1">
      <c r="A29" s="376"/>
      <c r="B29" s="401"/>
      <c r="C29" s="398"/>
      <c r="D29" s="394"/>
      <c r="E29" s="367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</row>
    <row r="30" ht="31.5" customHeight="1">
      <c r="A30" s="376"/>
      <c r="B30" s="402"/>
      <c r="C30" s="403"/>
      <c r="D30" s="404"/>
      <c r="E30" s="367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  <c r="AA30" s="368"/>
    </row>
    <row r="31">
      <c r="A31" s="368"/>
      <c r="B31" s="405"/>
      <c r="C31" s="405"/>
      <c r="D31" s="405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</row>
    <row r="32">
      <c r="A32" s="368"/>
      <c r="B32" s="368"/>
      <c r="C32" s="368"/>
      <c r="D32" s="368"/>
      <c r="E32" s="368"/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</row>
    <row r="33">
      <c r="A33" s="368"/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</row>
    <row r="34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</row>
    <row r="35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</row>
    <row r="36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  <c r="AA36" s="368"/>
    </row>
    <row r="37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  <c r="AA37" s="368"/>
    </row>
    <row r="38">
      <c r="A38" s="368"/>
      <c r="B38" s="368"/>
      <c r="C38" s="368"/>
      <c r="D38" s="368"/>
      <c r="E38" s="368"/>
      <c r="F38" s="368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  <c r="AA38" s="368"/>
    </row>
    <row r="39">
      <c r="A39" s="368"/>
      <c r="B39" s="368"/>
      <c r="C39" s="368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  <c r="AA39" s="368"/>
    </row>
    <row r="40">
      <c r="A40" s="368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</row>
    <row r="41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  <c r="AA41" s="368"/>
    </row>
    <row r="42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</row>
    <row r="43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</row>
    <row r="44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  <c r="AA44" s="368"/>
    </row>
    <row r="45">
      <c r="A45" s="368"/>
      <c r="B45" s="368"/>
      <c r="C45" s="368"/>
      <c r="D45" s="368"/>
      <c r="E45" s="368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</row>
    <row r="46">
      <c r="A46" s="368"/>
      <c r="B46" s="368"/>
      <c r="C46" s="368"/>
      <c r="D46" s="368"/>
      <c r="E46" s="368"/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  <c r="AA46" s="368"/>
    </row>
    <row r="47">
      <c r="A47" s="368"/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</row>
    <row r="48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  <c r="AA48" s="368"/>
    </row>
    <row r="49">
      <c r="A49" s="368"/>
      <c r="B49" s="368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</row>
    <row r="50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  <c r="AA50" s="368"/>
    </row>
    <row r="51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</row>
    <row r="52">
      <c r="A52" s="368"/>
      <c r="B52" s="368"/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</row>
    <row r="53">
      <c r="A53" s="368"/>
      <c r="B53" s="368"/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  <c r="AA53" s="368"/>
    </row>
    <row r="54">
      <c r="A54" s="368"/>
      <c r="B54" s="368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</row>
    <row r="55">
      <c r="A55" s="368"/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</row>
    <row r="56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</row>
    <row r="57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</row>
    <row r="58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</row>
    <row r="59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</row>
    <row r="60">
      <c r="A60" s="368"/>
      <c r="B60" s="368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</row>
    <row r="61">
      <c r="A61" s="368"/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</row>
    <row r="62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</row>
    <row r="63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</row>
    <row r="64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</row>
    <row r="65">
      <c r="A65" s="368"/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  <c r="AA65" s="368"/>
    </row>
    <row r="66">
      <c r="A66" s="368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</row>
    <row r="67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  <c r="AA67" s="368"/>
    </row>
    <row r="68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</row>
    <row r="69">
      <c r="A69" s="368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</row>
    <row r="70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  <c r="AA70" s="368"/>
    </row>
    <row r="71">
      <c r="A71" s="368"/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  <c r="AA71" s="368"/>
    </row>
    <row r="7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</row>
    <row r="73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  <c r="AA73" s="368"/>
    </row>
    <row r="74">
      <c r="A74" s="368"/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</row>
    <row r="75">
      <c r="A75" s="368"/>
      <c r="B75" s="368"/>
      <c r="C75" s="368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</row>
    <row r="76">
      <c r="A76" s="368"/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  <c r="AA76" s="368"/>
    </row>
    <row r="77">
      <c r="A77" s="368"/>
      <c r="B77" s="368"/>
      <c r="C77" s="368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  <c r="AA77" s="368"/>
    </row>
    <row r="78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  <c r="AA78" s="368"/>
    </row>
    <row r="79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  <c r="AA79" s="368"/>
    </row>
    <row r="80">
      <c r="A80" s="368"/>
      <c r="B80" s="368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  <c r="AA80" s="368"/>
    </row>
    <row r="81">
      <c r="A81" s="368"/>
      <c r="B81" s="368"/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  <c r="AA81" s="368"/>
    </row>
    <row r="82">
      <c r="A82" s="368"/>
      <c r="B82" s="368"/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  <c r="AA82" s="368"/>
    </row>
    <row r="83">
      <c r="A83" s="368"/>
      <c r="B83" s="368"/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</row>
    <row r="84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</row>
    <row r="85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</row>
    <row r="86">
      <c r="A86" s="368"/>
      <c r="B86" s="368"/>
      <c r="C86" s="368"/>
      <c r="D86" s="368"/>
      <c r="E86" s="368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8"/>
      <c r="AA86" s="368"/>
    </row>
    <row r="87">
      <c r="A87" s="368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  <c r="AA87" s="368"/>
    </row>
    <row r="88">
      <c r="A88" s="368"/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  <c r="AA88" s="368"/>
    </row>
    <row r="89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</row>
    <row r="90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  <c r="AA90" s="368"/>
    </row>
    <row r="91">
      <c r="A91" s="368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</row>
    <row r="92">
      <c r="A92" s="368"/>
      <c r="B92" s="368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  <c r="AA92" s="368"/>
    </row>
    <row r="93">
      <c r="A93" s="36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  <c r="AA93" s="368"/>
    </row>
    <row r="94">
      <c r="A94" s="368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  <c r="AA94" s="368"/>
    </row>
    <row r="95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</row>
    <row r="96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  <c r="AA96" s="368"/>
    </row>
    <row r="97">
      <c r="A97" s="36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  <c r="AA97" s="368"/>
    </row>
    <row r="98">
      <c r="A98" s="368"/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  <c r="AA98" s="368"/>
    </row>
    <row r="99">
      <c r="A99" s="368"/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  <c r="AA99" s="368"/>
    </row>
    <row r="100">
      <c r="A100" s="368"/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</row>
    <row r="101">
      <c r="A101" s="368"/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  <c r="AA101" s="368"/>
    </row>
    <row r="102">
      <c r="A102" s="368"/>
      <c r="B102" s="368"/>
      <c r="C102" s="368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  <c r="AA102" s="368"/>
    </row>
    <row r="103">
      <c r="A103" s="36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  <c r="AA103" s="368"/>
    </row>
    <row r="104">
      <c r="A104" s="36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  <c r="AA104" s="368"/>
    </row>
    <row r="105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  <c r="AA105" s="368"/>
    </row>
    <row r="106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  <c r="AA106" s="368"/>
    </row>
    <row r="107">
      <c r="A107" s="36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  <c r="AA107" s="368"/>
    </row>
    <row r="108">
      <c r="A108" s="36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  <c r="AA108" s="368"/>
    </row>
    <row r="109">
      <c r="A109" s="36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  <c r="AA109" s="368"/>
    </row>
    <row r="110">
      <c r="A110" s="36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  <c r="AA110" s="368"/>
    </row>
    <row r="111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  <c r="AA111" s="368"/>
    </row>
    <row r="11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  <c r="AA112" s="368"/>
    </row>
    <row r="113">
      <c r="A113" s="368"/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  <c r="AA113" s="368"/>
    </row>
    <row r="114">
      <c r="A114" s="368"/>
      <c r="B114" s="368"/>
      <c r="C114" s="368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  <c r="AA114" s="368"/>
    </row>
    <row r="115">
      <c r="A115" s="36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  <c r="AA115" s="368"/>
    </row>
    <row r="116">
      <c r="A116" s="36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  <c r="AA116" s="368"/>
    </row>
    <row r="117">
      <c r="A117" s="368"/>
      <c r="B117" s="368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  <c r="AA117" s="368"/>
    </row>
    <row r="118">
      <c r="A118" s="368"/>
      <c r="B118" s="368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  <c r="AA118" s="368"/>
    </row>
    <row r="119">
      <c r="A119" s="368"/>
      <c r="B119" s="368"/>
      <c r="C119" s="368"/>
      <c r="D119" s="368"/>
      <c r="E119" s="368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  <c r="AA119" s="368"/>
    </row>
    <row r="120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</row>
    <row r="121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  <c r="AA121" s="368"/>
    </row>
    <row r="12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</row>
    <row r="123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  <c r="AA123" s="368"/>
    </row>
    <row r="124">
      <c r="A124" s="368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</row>
    <row r="125">
      <c r="A125" s="368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368"/>
    </row>
    <row r="126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</row>
    <row r="127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  <c r="AA127" s="368"/>
    </row>
    <row r="128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  <c r="AA128" s="368"/>
    </row>
    <row r="129">
      <c r="A129" s="368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  <c r="AA129" s="368"/>
    </row>
    <row r="130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</row>
    <row r="131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  <c r="AA131" s="368"/>
    </row>
    <row r="132">
      <c r="A132" s="368"/>
      <c r="B132" s="368"/>
      <c r="C132" s="368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  <c r="AA132" s="368"/>
    </row>
    <row r="133">
      <c r="A133" s="368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  <c r="AA133" s="368"/>
    </row>
    <row r="134">
      <c r="A134" s="368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  <c r="AA134" s="368"/>
    </row>
    <row r="135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  <c r="AA135" s="368"/>
    </row>
    <row r="136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368"/>
    </row>
    <row r="137">
      <c r="A137" s="368"/>
      <c r="B137" s="368"/>
      <c r="C137" s="368"/>
      <c r="D137" s="368"/>
      <c r="E137" s="368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  <c r="AA137" s="368"/>
    </row>
    <row r="138">
      <c r="A138" s="368"/>
      <c r="B138" s="368"/>
      <c r="C138" s="368"/>
      <c r="D138" s="368"/>
      <c r="E138" s="368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  <c r="AA138" s="368"/>
    </row>
    <row r="139">
      <c r="A139" s="368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</row>
    <row r="140">
      <c r="A140" s="368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  <c r="AA140" s="368"/>
    </row>
    <row r="141">
      <c r="A141" s="368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  <c r="AA141" s="368"/>
    </row>
    <row r="14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  <c r="AA142" s="368"/>
    </row>
    <row r="143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  <c r="AA143" s="368"/>
    </row>
    <row r="144">
      <c r="A144" s="368"/>
      <c r="B144" s="368"/>
      <c r="C144" s="368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  <c r="AA144" s="368"/>
    </row>
    <row r="145">
      <c r="A145" s="368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  <c r="AA145" s="368"/>
    </row>
    <row r="146">
      <c r="A146" s="368"/>
      <c r="B146" s="368"/>
      <c r="C146" s="368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  <c r="AA146" s="368"/>
    </row>
    <row r="147">
      <c r="A147" s="368"/>
      <c r="B147" s="368"/>
      <c r="C147" s="368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368"/>
    </row>
    <row r="148">
      <c r="A148" s="368"/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  <c r="AA148" s="368"/>
    </row>
    <row r="149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  <c r="AA149" s="368"/>
    </row>
    <row r="150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  <c r="AA150" s="368"/>
    </row>
    <row r="151">
      <c r="A151" s="368"/>
      <c r="B151" s="368"/>
      <c r="C151" s="368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368"/>
    </row>
    <row r="152">
      <c r="A152" s="368"/>
      <c r="B152" s="368"/>
      <c r="C152" s="368"/>
      <c r="D152" s="368"/>
      <c r="E152" s="368"/>
      <c r="F152" s="368"/>
      <c r="G152" s="368"/>
      <c r="H152" s="368"/>
      <c r="I152" s="368"/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  <c r="AA152" s="368"/>
    </row>
    <row r="153">
      <c r="A153" s="368"/>
      <c r="B153" s="368"/>
      <c r="C153" s="368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</row>
    <row r="154">
      <c r="A154" s="368"/>
      <c r="B154" s="368"/>
      <c r="C154" s="368"/>
      <c r="D154" s="368"/>
      <c r="E154" s="368"/>
      <c r="F154" s="368"/>
      <c r="G154" s="368"/>
      <c r="H154" s="368"/>
      <c r="I154" s="368"/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  <c r="AA154" s="368"/>
    </row>
    <row r="155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  <c r="AA155" s="368"/>
    </row>
    <row r="156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  <c r="AA156" s="368"/>
    </row>
    <row r="157">
      <c r="A157" s="368"/>
      <c r="B157" s="368"/>
      <c r="C157" s="368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  <c r="AA157" s="368"/>
    </row>
    <row r="158">
      <c r="A158" s="368"/>
      <c r="B158" s="368"/>
      <c r="C158" s="368"/>
      <c r="D158" s="368"/>
      <c r="E158" s="368"/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  <c r="AA158" s="368"/>
    </row>
    <row r="159">
      <c r="A159" s="368"/>
      <c r="B159" s="368"/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</row>
    <row r="160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  <c r="AA160" s="368"/>
    </row>
    <row r="161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</row>
    <row r="162">
      <c r="A162" s="368"/>
      <c r="B162" s="368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  <c r="AA162" s="368"/>
    </row>
    <row r="163">
      <c r="A163" s="368"/>
      <c r="B163" s="368"/>
      <c r="C163" s="368"/>
      <c r="D163" s="368"/>
      <c r="E163" s="368"/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  <c r="AA163" s="368"/>
    </row>
    <row r="164">
      <c r="A164" s="368"/>
      <c r="B164" s="368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  <c r="AA164" s="368"/>
    </row>
    <row r="165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  <c r="AA165" s="368"/>
    </row>
    <row r="166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  <c r="AA166" s="368"/>
    </row>
    <row r="167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</row>
    <row r="168">
      <c r="A168" s="368"/>
      <c r="B168" s="368"/>
      <c r="C168" s="368"/>
      <c r="D168" s="368"/>
      <c r="E168" s="368"/>
      <c r="F168" s="368"/>
      <c r="G168" s="368"/>
      <c r="H168" s="368"/>
      <c r="I168" s="368"/>
      <c r="J168" s="368"/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  <c r="AA168" s="368"/>
    </row>
    <row r="169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  <c r="AA169" s="368"/>
    </row>
    <row r="170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  <c r="AA170" s="368"/>
    </row>
    <row r="171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  <c r="AA171" s="368"/>
    </row>
    <row r="172">
      <c r="A172" s="368"/>
      <c r="B172" s="368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  <c r="AA172" s="368"/>
    </row>
    <row r="173">
      <c r="A173" s="368"/>
      <c r="B173" s="368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  <c r="AA173" s="368"/>
    </row>
    <row r="174">
      <c r="A174" s="368"/>
      <c r="B174" s="368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  <c r="AA174" s="368"/>
    </row>
    <row r="175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  <c r="AA175" s="368"/>
    </row>
    <row r="176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  <c r="AA176" s="368"/>
    </row>
    <row r="177">
      <c r="A177" s="368"/>
      <c r="B177" s="368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  <c r="AA177" s="368"/>
    </row>
    <row r="178">
      <c r="A178" s="368"/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368"/>
    </row>
    <row r="179">
      <c r="A179" s="368"/>
      <c r="B179" s="368"/>
      <c r="C179" s="368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</row>
    <row r="180">
      <c r="A180" s="368"/>
      <c r="B180" s="368"/>
      <c r="C180" s="368"/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  <c r="AA180" s="368"/>
    </row>
    <row r="181">
      <c r="A181" s="368"/>
      <c r="B181" s="368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  <c r="AA181" s="368"/>
    </row>
    <row r="18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  <c r="AA182" s="368"/>
    </row>
    <row r="183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  <c r="AA183" s="368"/>
    </row>
    <row r="184">
      <c r="A184" s="368"/>
      <c r="B184" s="368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  <c r="AA184" s="368"/>
    </row>
    <row r="185">
      <c r="A185" s="368"/>
      <c r="B185" s="368"/>
      <c r="C185" s="368"/>
      <c r="D185" s="368"/>
      <c r="E185" s="368"/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  <c r="AA185" s="368"/>
    </row>
    <row r="186">
      <c r="A186" s="368"/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  <c r="AA186" s="368"/>
    </row>
    <row r="187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  <c r="AA187" s="368"/>
    </row>
    <row r="188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  <c r="AA188" s="368"/>
    </row>
    <row r="189">
      <c r="A189" s="368"/>
      <c r="B189" s="368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  <c r="AA189" s="368"/>
    </row>
    <row r="190">
      <c r="A190" s="368"/>
      <c r="B190" s="368"/>
      <c r="C190" s="368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</row>
    <row r="191">
      <c r="A191" s="368"/>
      <c r="B191" s="368"/>
      <c r="C191" s="368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  <c r="AA191" s="368"/>
    </row>
    <row r="192">
      <c r="A192" s="368"/>
      <c r="B192" s="368"/>
      <c r="C192" s="368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</row>
    <row r="193">
      <c r="A193" s="368"/>
      <c r="B193" s="368"/>
      <c r="C193" s="368"/>
      <c r="D193" s="368"/>
      <c r="E193" s="368"/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  <c r="AA193" s="368"/>
    </row>
    <row r="194">
      <c r="A194" s="368"/>
      <c r="B194" s="368"/>
      <c r="C194" s="368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</row>
    <row r="195">
      <c r="A195" s="368"/>
      <c r="B195" s="368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  <c r="AA195" s="368"/>
    </row>
    <row r="196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  <c r="AA196" s="368"/>
    </row>
    <row r="197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  <c r="AA197" s="368"/>
    </row>
    <row r="198">
      <c r="A198" s="368"/>
      <c r="B198" s="368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</row>
    <row r="199">
      <c r="A199" s="368"/>
      <c r="B199" s="368"/>
      <c r="C199" s="368"/>
      <c r="D199" s="368"/>
      <c r="E199" s="368"/>
      <c r="F199" s="368"/>
      <c r="G199" s="368"/>
      <c r="H199" s="368"/>
      <c r="I199" s="368"/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  <c r="AA199" s="368"/>
    </row>
    <row r="200">
      <c r="A200" s="368"/>
      <c r="B200" s="368"/>
      <c r="C200" s="368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</row>
    <row r="201">
      <c r="A201" s="368"/>
      <c r="B201" s="368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  <c r="AA201" s="368"/>
    </row>
    <row r="20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</row>
    <row r="203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  <c r="AA203" s="368"/>
    </row>
    <row r="204">
      <c r="A204" s="368"/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  <c r="AA204" s="368"/>
    </row>
    <row r="205">
      <c r="A205" s="368"/>
      <c r="B205" s="368"/>
      <c r="C205" s="368"/>
      <c r="D205" s="368"/>
      <c r="E205" s="368"/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  <c r="AA205" s="368"/>
    </row>
    <row r="206">
      <c r="A206" s="368"/>
      <c r="B206" s="368"/>
      <c r="C206" s="368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</row>
    <row r="207">
      <c r="A207" s="368"/>
      <c r="B207" s="368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  <c r="AA207" s="368"/>
    </row>
    <row r="208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  <c r="AA208" s="368"/>
    </row>
    <row r="209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  <c r="AA209" s="368"/>
    </row>
    <row r="210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  <c r="AA210" s="368"/>
    </row>
    <row r="211">
      <c r="A211" s="368"/>
      <c r="B211" s="368"/>
      <c r="C211" s="368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  <c r="AA211" s="368"/>
    </row>
    <row r="212">
      <c r="A212" s="368"/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  <c r="AA212" s="368"/>
    </row>
    <row r="213">
      <c r="A213" s="368"/>
      <c r="B213" s="368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  <c r="AA213" s="368"/>
    </row>
    <row r="214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  <c r="AA214" s="368"/>
    </row>
    <row r="215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  <c r="AA215" s="368"/>
    </row>
    <row r="216">
      <c r="A216" s="368"/>
      <c r="B216" s="368"/>
      <c r="C216" s="368"/>
      <c r="D216" s="368"/>
      <c r="E216" s="368"/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  <c r="AA216" s="368"/>
    </row>
    <row r="217">
      <c r="A217" s="368"/>
      <c r="B217" s="368"/>
      <c r="C217" s="368"/>
      <c r="D217" s="368"/>
      <c r="E217" s="368"/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  <c r="AA217" s="368"/>
    </row>
    <row r="218">
      <c r="A218" s="368"/>
      <c r="B218" s="368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  <c r="AA218" s="368"/>
    </row>
    <row r="219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  <c r="AA219" s="368"/>
    </row>
    <row r="220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  <c r="AA220" s="368"/>
    </row>
    <row r="221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  <c r="AA221" s="368"/>
    </row>
    <row r="222">
      <c r="A222" s="368"/>
      <c r="B222" s="368"/>
      <c r="C222" s="368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  <c r="AA222" s="368"/>
    </row>
    <row r="223">
      <c r="A223" s="368"/>
      <c r="B223" s="368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  <c r="AA223" s="368"/>
    </row>
    <row r="224">
      <c r="A224" s="368"/>
      <c r="B224" s="368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  <c r="AA224" s="368"/>
    </row>
    <row r="225">
      <c r="A225" s="368"/>
      <c r="B225" s="368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  <c r="AA225" s="368"/>
    </row>
    <row r="226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  <c r="AA226" s="368"/>
    </row>
    <row r="227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  <c r="AA227" s="368"/>
    </row>
    <row r="228">
      <c r="A228" s="368"/>
      <c r="B228" s="368"/>
      <c r="C228" s="368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  <c r="AA228" s="368"/>
    </row>
    <row r="229">
      <c r="A229" s="368"/>
      <c r="B229" s="368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  <c r="AA229" s="368"/>
    </row>
    <row r="230">
      <c r="A230" s="368"/>
      <c r="B230" s="368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  <c r="AA230" s="368"/>
    </row>
    <row r="231">
      <c r="A231" s="368"/>
      <c r="B231" s="368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  <c r="AA231" s="368"/>
    </row>
    <row r="23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  <c r="AA232" s="368"/>
    </row>
    <row r="233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  <c r="AA233" s="368"/>
    </row>
    <row r="234">
      <c r="A234" s="368"/>
      <c r="B234" s="368"/>
      <c r="C234" s="368"/>
      <c r="D234" s="368"/>
      <c r="E234" s="368"/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  <c r="AA234" s="368"/>
    </row>
    <row r="235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  <c r="AA235" s="368"/>
    </row>
    <row r="236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  <c r="AA236" s="368"/>
    </row>
    <row r="237">
      <c r="A237" s="368"/>
      <c r="B237" s="368"/>
      <c r="C237" s="368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  <c r="AA237" s="368"/>
    </row>
    <row r="238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  <c r="AA238" s="368"/>
    </row>
    <row r="239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  <c r="AA239" s="368"/>
    </row>
    <row r="240">
      <c r="A240" s="368"/>
      <c r="B240" s="368"/>
      <c r="C240" s="368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  <c r="AA240" s="368"/>
    </row>
    <row r="241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  <c r="AA241" s="368"/>
    </row>
    <row r="24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  <c r="AA242" s="368"/>
    </row>
    <row r="243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  <c r="AA243" s="368"/>
    </row>
    <row r="244">
      <c r="A244" s="368"/>
      <c r="B244" s="368"/>
      <c r="C244" s="368"/>
      <c r="D244" s="368"/>
      <c r="E244" s="368"/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  <c r="AA244" s="368"/>
    </row>
    <row r="245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  <c r="AA245" s="368"/>
    </row>
    <row r="246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  <c r="AA246" s="368"/>
    </row>
    <row r="247">
      <c r="A247" s="368"/>
      <c r="B247" s="368"/>
      <c r="C247" s="368"/>
      <c r="D247" s="368"/>
      <c r="E247" s="368"/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  <c r="AA247" s="368"/>
    </row>
    <row r="248">
      <c r="A248" s="368"/>
      <c r="B248" s="368"/>
      <c r="C248" s="368"/>
      <c r="D248" s="368"/>
      <c r="E248" s="368"/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  <c r="AA248" s="368"/>
    </row>
    <row r="249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  <c r="AA249" s="368"/>
    </row>
    <row r="250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  <c r="AA250" s="368"/>
    </row>
    <row r="251">
      <c r="A251" s="368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  <c r="AA251" s="368"/>
    </row>
    <row r="25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  <c r="AA252" s="368"/>
    </row>
    <row r="253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  <c r="AA253" s="368"/>
    </row>
    <row r="254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  <c r="AA254" s="368"/>
    </row>
    <row r="255">
      <c r="A255" s="368"/>
      <c r="B255" s="368"/>
      <c r="C255" s="368"/>
      <c r="D255" s="368"/>
      <c r="E255" s="368"/>
      <c r="F255" s="368"/>
      <c r="G255" s="368"/>
      <c r="H255" s="368"/>
      <c r="I255" s="368"/>
      <c r="J255" s="368"/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  <c r="AA255" s="368"/>
    </row>
    <row r="256">
      <c r="A256" s="368"/>
      <c r="B256" s="368"/>
      <c r="C256" s="368"/>
      <c r="D256" s="368"/>
      <c r="E256" s="368"/>
      <c r="F256" s="368"/>
      <c r="G256" s="368"/>
      <c r="H256" s="368"/>
      <c r="I256" s="368"/>
      <c r="J256" s="368"/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  <c r="AA256" s="368"/>
    </row>
    <row r="257">
      <c r="A257" s="368"/>
      <c r="B257" s="368"/>
      <c r="C257" s="368"/>
      <c r="D257" s="368"/>
      <c r="E257" s="368"/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  <c r="AA257" s="368"/>
    </row>
    <row r="258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  <c r="AA258" s="368"/>
    </row>
    <row r="259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  <c r="AA259" s="368"/>
    </row>
    <row r="260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  <c r="AA260" s="368"/>
    </row>
    <row r="261">
      <c r="A261" s="368"/>
      <c r="B261" s="368"/>
      <c r="C261" s="368"/>
      <c r="D261" s="368"/>
      <c r="E261" s="368"/>
      <c r="F261" s="368"/>
      <c r="G261" s="368"/>
      <c r="H261" s="368"/>
      <c r="I261" s="368"/>
      <c r="J261" s="368"/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  <c r="AA261" s="368"/>
    </row>
    <row r="262">
      <c r="A262" s="368"/>
      <c r="B262" s="368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  <c r="AA262" s="368"/>
    </row>
    <row r="263">
      <c r="A263" s="368"/>
      <c r="B263" s="368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  <c r="AA263" s="368"/>
    </row>
    <row r="264">
      <c r="A264" s="368"/>
      <c r="B264" s="368"/>
      <c r="C264" s="368"/>
      <c r="D264" s="368"/>
      <c r="E264" s="368"/>
      <c r="F264" s="368"/>
      <c r="G264" s="368"/>
      <c r="H264" s="368"/>
      <c r="I264" s="368"/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  <c r="AA264" s="368"/>
    </row>
    <row r="265">
      <c r="A265" s="368"/>
      <c r="B265" s="368"/>
      <c r="C265" s="368"/>
      <c r="D265" s="368"/>
      <c r="E265" s="368"/>
      <c r="F265" s="368"/>
      <c r="G265" s="368"/>
      <c r="H265" s="368"/>
      <c r="I265" s="368"/>
      <c r="J265" s="368"/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  <c r="AA265" s="368"/>
    </row>
    <row r="266">
      <c r="A266" s="368"/>
      <c r="B266" s="368"/>
      <c r="C266" s="368"/>
      <c r="D266" s="368"/>
      <c r="E266" s="368"/>
      <c r="F266" s="368"/>
      <c r="G266" s="368"/>
      <c r="H266" s="368"/>
      <c r="I266" s="368"/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  <c r="AA266" s="368"/>
    </row>
    <row r="267">
      <c r="A267" s="368"/>
      <c r="B267" s="368"/>
      <c r="C267" s="368"/>
      <c r="D267" s="368"/>
      <c r="E267" s="368"/>
      <c r="F267" s="368"/>
      <c r="G267" s="368"/>
      <c r="H267" s="368"/>
      <c r="I267" s="368"/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  <c r="AA267" s="368"/>
    </row>
    <row r="268">
      <c r="A268" s="368"/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  <c r="AA268" s="368"/>
    </row>
    <row r="269">
      <c r="A269" s="368"/>
      <c r="B269" s="368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  <c r="AA269" s="368"/>
    </row>
    <row r="270">
      <c r="A270" s="368"/>
      <c r="B270" s="368"/>
      <c r="C270" s="368"/>
      <c r="D270" s="368"/>
      <c r="E270" s="368"/>
      <c r="F270" s="368"/>
      <c r="G270" s="368"/>
      <c r="H270" s="368"/>
      <c r="I270" s="368"/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  <c r="AA270" s="368"/>
    </row>
    <row r="271">
      <c r="A271" s="368"/>
      <c r="B271" s="368"/>
      <c r="C271" s="368"/>
      <c r="D271" s="368"/>
      <c r="E271" s="368"/>
      <c r="F271" s="368"/>
      <c r="G271" s="368"/>
      <c r="H271" s="368"/>
      <c r="I271" s="368"/>
      <c r="J271" s="368"/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  <c r="AA271" s="368"/>
    </row>
    <row r="27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  <c r="AA272" s="368"/>
    </row>
    <row r="273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  <c r="AA273" s="368"/>
    </row>
    <row r="274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  <c r="AA274" s="368"/>
    </row>
    <row r="275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  <c r="AA275" s="368"/>
    </row>
    <row r="276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  <c r="AA276" s="368"/>
    </row>
    <row r="277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  <c r="AA277" s="368"/>
    </row>
    <row r="278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  <c r="AA278" s="368"/>
    </row>
    <row r="279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  <c r="AA279" s="368"/>
    </row>
    <row r="280">
      <c r="A280" s="368"/>
      <c r="B280" s="368"/>
      <c r="C280" s="368"/>
      <c r="D280" s="368"/>
      <c r="E280" s="368"/>
      <c r="F280" s="368"/>
      <c r="G280" s="368"/>
      <c r="H280" s="368"/>
      <c r="I280" s="368"/>
      <c r="J280" s="368"/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  <c r="AA280" s="368"/>
    </row>
    <row r="281">
      <c r="A281" s="368"/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  <c r="AA281" s="368"/>
    </row>
    <row r="282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  <c r="AA282" s="368"/>
    </row>
    <row r="283">
      <c r="A283" s="368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  <c r="AA283" s="368"/>
    </row>
    <row r="284">
      <c r="A284" s="368"/>
      <c r="B284" s="368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  <c r="AA284" s="368"/>
    </row>
    <row r="285">
      <c r="A285" s="368"/>
      <c r="B285" s="368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  <c r="AA285" s="368"/>
    </row>
    <row r="286">
      <c r="A286" s="368"/>
      <c r="B286" s="368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  <c r="AA286" s="368"/>
    </row>
    <row r="287">
      <c r="A287" s="368"/>
      <c r="B287" s="368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  <c r="AA287" s="368"/>
    </row>
    <row r="288">
      <c r="A288" s="368"/>
      <c r="B288" s="368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  <c r="AA288" s="368"/>
    </row>
    <row r="289">
      <c r="A289" s="368"/>
      <c r="B289" s="368"/>
      <c r="C289" s="368"/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  <c r="AA289" s="368"/>
    </row>
    <row r="290">
      <c r="A290" s="368"/>
      <c r="B290" s="368"/>
      <c r="C290" s="368"/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  <c r="AA290" s="368"/>
    </row>
    <row r="291">
      <c r="A291" s="368"/>
      <c r="B291" s="368"/>
      <c r="C291" s="368"/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  <c r="AA291" s="368"/>
    </row>
    <row r="292">
      <c r="A292" s="368"/>
      <c r="B292" s="368"/>
      <c r="C292" s="368"/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  <c r="AA292" s="368"/>
    </row>
    <row r="293">
      <c r="A293" s="368"/>
      <c r="B293" s="368"/>
      <c r="C293" s="368"/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  <c r="AA293" s="368"/>
    </row>
    <row r="294">
      <c r="A294" s="368"/>
      <c r="B294" s="368"/>
      <c r="C294" s="368"/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  <c r="AA294" s="368"/>
    </row>
    <row r="295">
      <c r="A295" s="368"/>
      <c r="B295" s="368"/>
      <c r="C295" s="368"/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  <c r="AA295" s="368"/>
    </row>
    <row r="296">
      <c r="A296" s="368"/>
      <c r="B296" s="368"/>
      <c r="C296" s="368"/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  <c r="AA296" s="368"/>
    </row>
    <row r="297">
      <c r="A297" s="368"/>
      <c r="B297" s="368"/>
      <c r="C297" s="368"/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  <c r="AA297" s="368"/>
    </row>
    <row r="298">
      <c r="A298" s="368"/>
      <c r="B298" s="368"/>
      <c r="C298" s="368"/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  <c r="AA298" s="368"/>
    </row>
    <row r="299">
      <c r="A299" s="368"/>
      <c r="B299" s="368"/>
      <c r="C299" s="368"/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  <c r="AA299" s="368"/>
    </row>
    <row r="300">
      <c r="A300" s="368"/>
      <c r="B300" s="368"/>
      <c r="C300" s="368"/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  <c r="AA300" s="368"/>
    </row>
    <row r="301">
      <c r="A301" s="368"/>
      <c r="B301" s="368"/>
      <c r="C301" s="368"/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  <c r="AA301" s="368"/>
    </row>
    <row r="302">
      <c r="A302" s="368"/>
      <c r="B302" s="368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  <c r="AA302" s="368"/>
    </row>
    <row r="303">
      <c r="A303" s="368"/>
      <c r="B303" s="368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  <c r="AA303" s="368"/>
    </row>
    <row r="304">
      <c r="A304" s="368"/>
      <c r="B304" s="368"/>
      <c r="C304" s="368"/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  <c r="AA304" s="368"/>
    </row>
    <row r="305">
      <c r="A305" s="368"/>
      <c r="B305" s="368"/>
      <c r="C305" s="368"/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  <c r="AA305" s="368"/>
    </row>
    <row r="306">
      <c r="A306" s="368"/>
      <c r="B306" s="368"/>
      <c r="C306" s="368"/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  <c r="AA306" s="368"/>
    </row>
    <row r="307">
      <c r="A307" s="368"/>
      <c r="B307" s="368"/>
      <c r="C307" s="368"/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  <c r="AA307" s="368"/>
    </row>
    <row r="308">
      <c r="A308" s="368"/>
      <c r="B308" s="368"/>
      <c r="C308" s="368"/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  <c r="AA308" s="368"/>
    </row>
    <row r="309">
      <c r="A309" s="368"/>
      <c r="B309" s="368"/>
      <c r="C309" s="368"/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  <c r="AA309" s="368"/>
    </row>
    <row r="310">
      <c r="A310" s="368"/>
      <c r="B310" s="368"/>
      <c r="C310" s="368"/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  <c r="AA310" s="368"/>
    </row>
    <row r="311">
      <c r="A311" s="368"/>
      <c r="B311" s="368"/>
      <c r="C311" s="368"/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  <c r="AA311" s="368"/>
    </row>
    <row r="312">
      <c r="A312" s="368"/>
      <c r="B312" s="368"/>
      <c r="C312" s="3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  <c r="AA312" s="368"/>
    </row>
    <row r="313">
      <c r="A313" s="368"/>
      <c r="B313" s="368"/>
      <c r="C313" s="368"/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  <c r="AA313" s="368"/>
    </row>
    <row r="314">
      <c r="A314" s="368"/>
      <c r="B314" s="368"/>
      <c r="C314" s="368"/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  <c r="AA314" s="368"/>
    </row>
    <row r="315">
      <c r="A315" s="368"/>
      <c r="B315" s="368"/>
      <c r="C315" s="368"/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  <c r="AA315" s="368"/>
    </row>
    <row r="316">
      <c r="A316" s="368"/>
      <c r="B316" s="368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  <c r="AA316" s="368"/>
    </row>
    <row r="317">
      <c r="A317" s="368"/>
      <c r="B317" s="368"/>
      <c r="C317" s="368"/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  <c r="AA317" s="368"/>
    </row>
    <row r="318">
      <c r="A318" s="368"/>
      <c r="B318" s="368"/>
      <c r="C318" s="368"/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  <c r="AA318" s="368"/>
    </row>
    <row r="319">
      <c r="A319" s="368"/>
      <c r="B319" s="368"/>
      <c r="C319" s="368"/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  <c r="AA319" s="368"/>
    </row>
    <row r="320">
      <c r="A320" s="368"/>
      <c r="B320" s="368"/>
      <c r="C320" s="368"/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  <c r="AA320" s="368"/>
    </row>
    <row r="321">
      <c r="A321" s="368"/>
      <c r="B321" s="368"/>
      <c r="C321" s="368"/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  <c r="AA321" s="368"/>
    </row>
    <row r="322">
      <c r="A322" s="368"/>
      <c r="B322" s="368"/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  <c r="AA322" s="368"/>
    </row>
    <row r="323">
      <c r="A323" s="368"/>
      <c r="B323" s="368"/>
      <c r="C323" s="368"/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  <c r="AA323" s="368"/>
    </row>
    <row r="324">
      <c r="A324" s="368"/>
      <c r="B324" s="368"/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  <c r="AA324" s="368"/>
    </row>
    <row r="325">
      <c r="A325" s="368"/>
      <c r="B325" s="368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  <c r="AA325" s="368"/>
    </row>
    <row r="326">
      <c r="A326" s="368"/>
      <c r="B326" s="368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  <c r="AA326" s="368"/>
    </row>
    <row r="327">
      <c r="A327" s="368"/>
      <c r="B327" s="36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  <c r="AA327" s="368"/>
    </row>
    <row r="328">
      <c r="A328" s="368"/>
      <c r="B328" s="368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  <c r="AA328" s="368"/>
    </row>
    <row r="329">
      <c r="A329" s="368"/>
      <c r="B329" s="368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  <c r="AA329" s="368"/>
    </row>
    <row r="330">
      <c r="A330" s="368"/>
      <c r="B330" s="368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  <c r="AA330" s="368"/>
    </row>
    <row r="331">
      <c r="A331" s="368"/>
      <c r="B331" s="368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  <c r="AA331" s="368"/>
    </row>
    <row r="332">
      <c r="A332" s="368"/>
      <c r="B332" s="368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  <c r="AA332" s="368"/>
    </row>
    <row r="333">
      <c r="A333" s="368"/>
      <c r="B333" s="368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  <c r="AA333" s="368"/>
    </row>
    <row r="334">
      <c r="A334" s="368"/>
      <c r="B334" s="368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  <c r="AA334" s="368"/>
    </row>
    <row r="335">
      <c r="A335" s="368"/>
      <c r="B335" s="368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  <c r="AA335" s="368"/>
    </row>
    <row r="336">
      <c r="A336" s="368"/>
      <c r="B336" s="368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  <c r="AA336" s="368"/>
    </row>
    <row r="337">
      <c r="A337" s="368"/>
      <c r="B337" s="368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  <c r="AA337" s="368"/>
    </row>
    <row r="338">
      <c r="A338" s="368"/>
      <c r="B338" s="368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  <c r="AA338" s="368"/>
    </row>
    <row r="339">
      <c r="A339" s="368"/>
      <c r="B339" s="368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  <c r="AA339" s="368"/>
    </row>
    <row r="340">
      <c r="A340" s="368"/>
      <c r="B340" s="368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  <c r="AA340" s="368"/>
    </row>
    <row r="341">
      <c r="A341" s="368"/>
      <c r="B341" s="368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  <c r="AA341" s="368"/>
    </row>
    <row r="342">
      <c r="A342" s="368"/>
      <c r="B342" s="368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  <c r="AA342" s="368"/>
    </row>
    <row r="343">
      <c r="A343" s="368"/>
      <c r="B343" s="368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  <c r="AA343" s="368"/>
    </row>
    <row r="344">
      <c r="A344" s="368"/>
      <c r="B344" s="368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  <c r="AA344" s="368"/>
    </row>
    <row r="345">
      <c r="A345" s="368"/>
      <c r="B345" s="368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  <c r="AA345" s="368"/>
    </row>
    <row r="346">
      <c r="A346" s="368"/>
      <c r="B346" s="368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  <c r="AA346" s="368"/>
    </row>
    <row r="347">
      <c r="A347" s="368"/>
      <c r="B347" s="368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  <c r="AA347" s="368"/>
    </row>
    <row r="348">
      <c r="A348" s="368"/>
      <c r="B348" s="368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  <c r="AA348" s="368"/>
    </row>
    <row r="349">
      <c r="A349" s="368"/>
      <c r="B349" s="368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  <c r="AA349" s="368"/>
    </row>
    <row r="350">
      <c r="A350" s="368"/>
      <c r="B350" s="368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  <c r="AA350" s="368"/>
    </row>
    <row r="351">
      <c r="A351" s="368"/>
      <c r="B351" s="368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  <c r="AA351" s="368"/>
    </row>
    <row r="352">
      <c r="A352" s="368"/>
      <c r="B352" s="368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  <c r="AA352" s="368"/>
    </row>
    <row r="353">
      <c r="A353" s="368"/>
      <c r="B353" s="368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  <c r="AA353" s="368"/>
    </row>
    <row r="354">
      <c r="A354" s="368"/>
      <c r="B354" s="368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  <c r="AA354" s="368"/>
    </row>
    <row r="355">
      <c r="A355" s="368"/>
      <c r="B355" s="368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  <c r="AA355" s="368"/>
    </row>
    <row r="356">
      <c r="A356" s="368"/>
      <c r="B356" s="368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  <c r="AA356" s="368"/>
    </row>
    <row r="357">
      <c r="A357" s="368"/>
      <c r="B357" s="368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  <c r="AA357" s="368"/>
    </row>
    <row r="358">
      <c r="A358" s="368"/>
      <c r="B358" s="368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  <c r="AA358" s="368"/>
    </row>
    <row r="359">
      <c r="A359" s="368"/>
      <c r="B359" s="368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  <c r="AA359" s="368"/>
    </row>
    <row r="360">
      <c r="A360" s="368"/>
      <c r="B360" s="368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  <c r="AA360" s="368"/>
    </row>
    <row r="361">
      <c r="A361" s="368"/>
      <c r="B361" s="368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  <c r="AA361" s="368"/>
    </row>
    <row r="362">
      <c r="A362" s="368"/>
      <c r="B362" s="368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  <c r="AA362" s="368"/>
    </row>
    <row r="363">
      <c r="A363" s="368"/>
      <c r="B363" s="368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  <c r="AA363" s="368"/>
    </row>
    <row r="364">
      <c r="A364" s="368"/>
      <c r="B364" s="368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  <c r="AA364" s="368"/>
    </row>
    <row r="365">
      <c r="A365" s="368"/>
      <c r="B365" s="368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  <c r="AA365" s="368"/>
    </row>
    <row r="366">
      <c r="A366" s="368"/>
      <c r="B366" s="368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  <c r="AA366" s="368"/>
    </row>
    <row r="367">
      <c r="A367" s="368"/>
      <c r="B367" s="368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  <c r="AA367" s="368"/>
    </row>
    <row r="368">
      <c r="A368" s="368"/>
      <c r="B368" s="368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  <c r="AA368" s="368"/>
    </row>
    <row r="369">
      <c r="A369" s="368"/>
      <c r="B369" s="368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  <c r="AA369" s="368"/>
    </row>
    <row r="370">
      <c r="A370" s="368"/>
      <c r="B370" s="368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  <c r="AA370" s="368"/>
    </row>
    <row r="371">
      <c r="A371" s="368"/>
      <c r="B371" s="368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  <c r="AA371" s="368"/>
    </row>
    <row r="372">
      <c r="A372" s="368"/>
      <c r="B372" s="368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  <c r="AA372" s="368"/>
    </row>
    <row r="373">
      <c r="A373" s="368"/>
      <c r="B373" s="368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  <c r="AA373" s="368"/>
    </row>
    <row r="374">
      <c r="A374" s="368"/>
      <c r="B374" s="368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  <c r="AA374" s="368"/>
    </row>
    <row r="375">
      <c r="A375" s="368"/>
      <c r="B375" s="368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  <c r="AA375" s="368"/>
    </row>
    <row r="376">
      <c r="A376" s="368"/>
      <c r="B376" s="368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  <c r="AA376" s="368"/>
    </row>
    <row r="377">
      <c r="A377" s="368"/>
      <c r="B377" s="368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  <c r="AA377" s="368"/>
    </row>
    <row r="378">
      <c r="A378" s="368"/>
      <c r="B378" s="368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  <c r="AA378" s="368"/>
    </row>
    <row r="379">
      <c r="A379" s="368"/>
      <c r="B379" s="368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  <c r="AA379" s="368"/>
    </row>
    <row r="380">
      <c r="A380" s="368"/>
      <c r="B380" s="368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  <c r="AA380" s="368"/>
    </row>
    <row r="381">
      <c r="A381" s="368"/>
      <c r="B381" s="368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  <c r="AA381" s="368"/>
    </row>
    <row r="382">
      <c r="A382" s="368"/>
      <c r="B382" s="368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  <c r="AA382" s="368"/>
    </row>
    <row r="383">
      <c r="A383" s="368"/>
      <c r="B383" s="368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  <c r="AA383" s="368"/>
    </row>
    <row r="384">
      <c r="A384" s="368"/>
      <c r="B384" s="368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  <c r="AA384" s="368"/>
    </row>
    <row r="385">
      <c r="A385" s="368"/>
      <c r="B385" s="368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  <c r="AA385" s="368"/>
    </row>
    <row r="386">
      <c r="A386" s="368"/>
      <c r="B386" s="368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  <c r="AA386" s="368"/>
    </row>
    <row r="387">
      <c r="A387" s="368"/>
      <c r="B387" s="368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  <c r="AA387" s="368"/>
    </row>
    <row r="388">
      <c r="A388" s="368"/>
      <c r="B388" s="368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  <c r="AA388" s="368"/>
    </row>
    <row r="389">
      <c r="A389" s="368"/>
      <c r="B389" s="368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  <c r="AA389" s="368"/>
    </row>
    <row r="390">
      <c r="A390" s="368"/>
      <c r="B390" s="368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  <c r="AA390" s="368"/>
    </row>
    <row r="391">
      <c r="A391" s="368"/>
      <c r="B391" s="368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  <c r="AA391" s="368"/>
    </row>
    <row r="392">
      <c r="A392" s="368"/>
      <c r="B392" s="368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  <c r="AA392" s="368"/>
    </row>
    <row r="393">
      <c r="A393" s="368"/>
      <c r="B393" s="368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  <c r="AA393" s="368"/>
    </row>
    <row r="394">
      <c r="A394" s="368"/>
      <c r="B394" s="368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  <c r="AA394" s="368"/>
    </row>
    <row r="395">
      <c r="A395" s="368"/>
      <c r="B395" s="368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  <c r="AA395" s="368"/>
    </row>
    <row r="396">
      <c r="A396" s="368"/>
      <c r="B396" s="368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  <c r="AA396" s="368"/>
    </row>
    <row r="397">
      <c r="A397" s="368"/>
      <c r="B397" s="368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  <c r="AA397" s="368"/>
    </row>
    <row r="398">
      <c r="A398" s="368"/>
      <c r="B398" s="368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  <c r="AA398" s="368"/>
    </row>
    <row r="399">
      <c r="A399" s="368"/>
      <c r="B399" s="368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  <c r="AA399" s="368"/>
    </row>
    <row r="400">
      <c r="A400" s="368"/>
      <c r="B400" s="368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  <c r="AA400" s="368"/>
    </row>
    <row r="401">
      <c r="A401" s="368"/>
      <c r="B401" s="368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  <c r="AA401" s="368"/>
    </row>
    <row r="402">
      <c r="A402" s="368"/>
      <c r="B402" s="368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  <c r="AA402" s="368"/>
    </row>
    <row r="403">
      <c r="A403" s="368"/>
      <c r="B403" s="368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  <c r="AA403" s="368"/>
    </row>
    <row r="404">
      <c r="A404" s="368"/>
      <c r="B404" s="368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  <c r="AA404" s="368"/>
    </row>
    <row r="405">
      <c r="A405" s="368"/>
      <c r="B405" s="368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  <c r="AA405" s="368"/>
    </row>
    <row r="406">
      <c r="A406" s="368"/>
      <c r="B406" s="368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  <c r="AA406" s="368"/>
    </row>
    <row r="407">
      <c r="A407" s="368"/>
      <c r="B407" s="368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  <c r="AA407" s="368"/>
    </row>
    <row r="408">
      <c r="A408" s="368"/>
      <c r="B408" s="368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  <c r="AA408" s="368"/>
    </row>
    <row r="409">
      <c r="A409" s="368"/>
      <c r="B409" s="368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  <c r="AA409" s="368"/>
    </row>
    <row r="410">
      <c r="A410" s="368"/>
      <c r="B410" s="368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  <c r="AA410" s="368"/>
    </row>
    <row r="411">
      <c r="A411" s="368"/>
      <c r="B411" s="368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  <c r="AA411" s="368"/>
    </row>
    <row r="412">
      <c r="A412" s="368"/>
      <c r="B412" s="368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  <c r="AA412" s="368"/>
    </row>
    <row r="413">
      <c r="A413" s="368"/>
      <c r="B413" s="368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  <c r="AA413" s="368"/>
    </row>
    <row r="414">
      <c r="A414" s="368"/>
      <c r="B414" s="368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  <c r="AA414" s="368"/>
    </row>
    <row r="415">
      <c r="A415" s="368"/>
      <c r="B415" s="368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  <c r="AA415" s="368"/>
    </row>
    <row r="416">
      <c r="A416" s="368"/>
      <c r="B416" s="368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  <c r="AA416" s="368"/>
    </row>
    <row r="417">
      <c r="A417" s="368"/>
      <c r="B417" s="368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  <c r="AA417" s="368"/>
    </row>
    <row r="418">
      <c r="A418" s="368"/>
      <c r="B418" s="368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  <c r="AA418" s="368"/>
    </row>
    <row r="419">
      <c r="A419" s="368"/>
      <c r="B419" s="368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  <c r="AA419" s="368"/>
    </row>
    <row r="420">
      <c r="A420" s="368"/>
      <c r="B420" s="368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  <c r="AA420" s="368"/>
    </row>
    <row r="421">
      <c r="A421" s="368"/>
      <c r="B421" s="368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  <c r="AA421" s="368"/>
    </row>
    <row r="422">
      <c r="A422" s="368"/>
      <c r="B422" s="368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  <c r="AA422" s="368"/>
    </row>
    <row r="423">
      <c r="A423" s="368"/>
      <c r="B423" s="368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  <c r="AA423" s="368"/>
    </row>
    <row r="424">
      <c r="A424" s="368"/>
      <c r="B424" s="368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  <c r="AA424" s="368"/>
    </row>
    <row r="425">
      <c r="A425" s="368"/>
      <c r="B425" s="368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  <c r="AA425" s="368"/>
    </row>
    <row r="426">
      <c r="A426" s="368"/>
      <c r="B426" s="368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  <c r="AA426" s="368"/>
    </row>
    <row r="427">
      <c r="A427" s="368"/>
      <c r="B427" s="368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  <c r="AA427" s="368"/>
    </row>
    <row r="428">
      <c r="A428" s="368"/>
      <c r="B428" s="368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  <c r="AA428" s="368"/>
    </row>
    <row r="429">
      <c r="A429" s="368"/>
      <c r="B429" s="368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  <c r="AA429" s="368"/>
    </row>
    <row r="430">
      <c r="A430" s="368"/>
      <c r="B430" s="368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  <c r="AA430" s="368"/>
    </row>
    <row r="431">
      <c r="A431" s="368"/>
      <c r="B431" s="368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  <c r="AA431" s="368"/>
    </row>
    <row r="432">
      <c r="A432" s="368"/>
      <c r="B432" s="368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  <c r="AA432" s="368"/>
    </row>
    <row r="433">
      <c r="A433" s="368"/>
      <c r="B433" s="368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  <c r="AA433" s="368"/>
    </row>
    <row r="434">
      <c r="A434" s="368"/>
      <c r="B434" s="368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  <c r="AA434" s="368"/>
    </row>
    <row r="435">
      <c r="A435" s="368"/>
      <c r="B435" s="368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  <c r="AA435" s="368"/>
    </row>
    <row r="436">
      <c r="A436" s="368"/>
      <c r="B436" s="368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  <c r="AA436" s="368"/>
    </row>
    <row r="437">
      <c r="A437" s="368"/>
      <c r="B437" s="368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  <c r="AA437" s="368"/>
    </row>
    <row r="438">
      <c r="A438" s="368"/>
      <c r="B438" s="368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  <c r="AA438" s="368"/>
    </row>
    <row r="439">
      <c r="A439" s="368"/>
      <c r="B439" s="368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  <c r="AA439" s="368"/>
    </row>
    <row r="440">
      <c r="A440" s="368"/>
      <c r="B440" s="368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  <c r="AA440" s="368"/>
    </row>
    <row r="441">
      <c r="A441" s="368"/>
      <c r="B441" s="368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  <c r="AA441" s="368"/>
    </row>
    <row r="442">
      <c r="A442" s="368"/>
      <c r="B442" s="368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  <c r="AA442" s="368"/>
    </row>
    <row r="443">
      <c r="A443" s="368"/>
      <c r="B443" s="368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  <c r="AA443" s="368"/>
    </row>
    <row r="444">
      <c r="A444" s="368"/>
      <c r="B444" s="368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  <c r="AA444" s="368"/>
    </row>
    <row r="445">
      <c r="A445" s="368"/>
      <c r="B445" s="368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  <c r="AA445" s="368"/>
    </row>
    <row r="446">
      <c r="A446" s="368"/>
      <c r="B446" s="368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  <c r="AA446" s="368"/>
    </row>
    <row r="447">
      <c r="A447" s="368"/>
      <c r="B447" s="368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  <c r="AA447" s="368"/>
    </row>
    <row r="448">
      <c r="A448" s="368"/>
      <c r="B448" s="368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  <c r="AA448" s="368"/>
    </row>
    <row r="449">
      <c r="A449" s="368"/>
      <c r="B449" s="368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  <c r="AA449" s="368"/>
    </row>
    <row r="450">
      <c r="A450" s="368"/>
      <c r="B450" s="368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  <c r="AA450" s="368"/>
    </row>
    <row r="451">
      <c r="A451" s="368"/>
      <c r="B451" s="368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  <c r="AA451" s="368"/>
    </row>
    <row r="452">
      <c r="A452" s="368"/>
      <c r="B452" s="368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  <c r="AA452" s="368"/>
    </row>
    <row r="453">
      <c r="A453" s="368"/>
      <c r="B453" s="368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  <c r="AA453" s="368"/>
    </row>
    <row r="454">
      <c r="A454" s="368"/>
      <c r="B454" s="368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  <c r="AA454" s="368"/>
    </row>
    <row r="455">
      <c r="A455" s="368"/>
      <c r="B455" s="368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  <c r="AA455" s="368"/>
    </row>
    <row r="456">
      <c r="A456" s="368"/>
      <c r="B456" s="368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  <c r="AA456" s="368"/>
    </row>
    <row r="457">
      <c r="A457" s="368"/>
      <c r="B457" s="368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  <c r="AA457" s="368"/>
    </row>
    <row r="458">
      <c r="A458" s="368"/>
      <c r="B458" s="368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  <c r="AA458" s="368"/>
    </row>
    <row r="459">
      <c r="A459" s="368"/>
      <c r="B459" s="368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  <c r="AA459" s="368"/>
    </row>
    <row r="460">
      <c r="A460" s="368"/>
      <c r="B460" s="368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  <c r="AA460" s="368"/>
    </row>
    <row r="461">
      <c r="A461" s="368"/>
      <c r="B461" s="368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  <c r="AA461" s="368"/>
    </row>
    <row r="462">
      <c r="A462" s="368"/>
      <c r="B462" s="368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  <c r="AA462" s="368"/>
    </row>
    <row r="463">
      <c r="A463" s="368"/>
      <c r="B463" s="368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  <c r="AA463" s="368"/>
    </row>
    <row r="464">
      <c r="A464" s="368"/>
      <c r="B464" s="368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  <c r="AA464" s="368"/>
    </row>
    <row r="465">
      <c r="A465" s="368"/>
      <c r="B465" s="368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  <c r="AA465" s="368"/>
    </row>
    <row r="466">
      <c r="A466" s="368"/>
      <c r="B466" s="368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  <c r="AA466" s="368"/>
    </row>
    <row r="467">
      <c r="A467" s="368"/>
      <c r="B467" s="368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  <c r="AA467" s="368"/>
    </row>
    <row r="468">
      <c r="A468" s="368"/>
      <c r="B468" s="368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  <c r="AA468" s="368"/>
    </row>
    <row r="469">
      <c r="A469" s="368"/>
      <c r="B469" s="368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  <c r="AA469" s="368"/>
    </row>
    <row r="470">
      <c r="A470" s="368"/>
      <c r="B470" s="368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  <c r="AA470" s="368"/>
    </row>
    <row r="471">
      <c r="A471" s="368"/>
      <c r="B471" s="368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  <c r="AA471" s="368"/>
    </row>
    <row r="472">
      <c r="A472" s="368"/>
      <c r="B472" s="368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  <c r="AA472" s="368"/>
    </row>
    <row r="473">
      <c r="A473" s="368"/>
      <c r="B473" s="368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  <c r="AA473" s="368"/>
    </row>
    <row r="474">
      <c r="A474" s="368"/>
      <c r="B474" s="368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  <c r="AA474" s="368"/>
    </row>
    <row r="475">
      <c r="A475" s="368"/>
      <c r="B475" s="368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  <c r="AA475" s="368"/>
    </row>
    <row r="476">
      <c r="A476" s="368"/>
      <c r="B476" s="368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  <c r="AA476" s="368"/>
    </row>
    <row r="477">
      <c r="A477" s="368"/>
      <c r="B477" s="368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  <c r="AA477" s="368"/>
    </row>
    <row r="478">
      <c r="A478" s="368"/>
      <c r="B478" s="368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  <c r="AA478" s="368"/>
    </row>
    <row r="479">
      <c r="A479" s="368"/>
      <c r="B479" s="368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  <c r="AA479" s="368"/>
    </row>
    <row r="480">
      <c r="A480" s="368"/>
      <c r="B480" s="368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  <c r="AA480" s="368"/>
    </row>
    <row r="481">
      <c r="A481" s="368"/>
      <c r="B481" s="368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  <c r="AA481" s="368"/>
    </row>
    <row r="482">
      <c r="A482" s="368"/>
      <c r="B482" s="368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  <c r="AA482" s="368"/>
    </row>
    <row r="483">
      <c r="A483" s="368"/>
      <c r="B483" s="368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  <c r="AA483" s="368"/>
    </row>
    <row r="484">
      <c r="A484" s="368"/>
      <c r="B484" s="368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  <c r="AA484" s="368"/>
    </row>
    <row r="485">
      <c r="A485" s="368"/>
      <c r="B485" s="368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  <c r="AA485" s="368"/>
    </row>
    <row r="486">
      <c r="A486" s="368"/>
      <c r="B486" s="368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  <c r="AA486" s="368"/>
    </row>
    <row r="487">
      <c r="A487" s="368"/>
      <c r="B487" s="368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  <c r="AA487" s="368"/>
    </row>
    <row r="488">
      <c r="A488" s="368"/>
      <c r="B488" s="368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  <c r="AA488" s="368"/>
    </row>
    <row r="489">
      <c r="A489" s="368"/>
      <c r="B489" s="368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  <c r="AA489" s="368"/>
    </row>
    <row r="490">
      <c r="A490" s="368"/>
      <c r="B490" s="368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  <c r="AA490" s="368"/>
    </row>
    <row r="491">
      <c r="A491" s="368"/>
      <c r="B491" s="368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  <c r="AA491" s="368"/>
    </row>
    <row r="492">
      <c r="A492" s="368"/>
      <c r="B492" s="368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  <c r="AA492" s="368"/>
    </row>
    <row r="493">
      <c r="A493" s="368"/>
      <c r="B493" s="368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  <c r="AA493" s="368"/>
    </row>
    <row r="494">
      <c r="A494" s="368"/>
      <c r="B494" s="368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  <c r="AA494" s="368"/>
    </row>
    <row r="495">
      <c r="A495" s="368"/>
      <c r="B495" s="368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  <c r="AA495" s="368"/>
    </row>
    <row r="496">
      <c r="A496" s="368"/>
      <c r="B496" s="368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  <c r="AA496" s="368"/>
    </row>
    <row r="497">
      <c r="A497" s="368"/>
      <c r="B497" s="368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  <c r="AA497" s="368"/>
    </row>
    <row r="498">
      <c r="A498" s="368"/>
      <c r="B498" s="368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  <c r="AA498" s="368"/>
    </row>
    <row r="499">
      <c r="A499" s="368"/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  <c r="AA499" s="368"/>
    </row>
    <row r="500">
      <c r="A500" s="368"/>
      <c r="B500" s="368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  <c r="AA500" s="368"/>
    </row>
    <row r="501">
      <c r="A501" s="368"/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  <c r="AA501" s="368"/>
    </row>
    <row r="502">
      <c r="A502" s="368"/>
      <c r="B502" s="368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  <c r="AA502" s="368"/>
    </row>
    <row r="503">
      <c r="A503" s="368"/>
      <c r="B503" s="368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  <c r="AA503" s="368"/>
    </row>
    <row r="504">
      <c r="A504" s="368"/>
      <c r="B504" s="368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  <c r="AA504" s="368"/>
    </row>
    <row r="505">
      <c r="A505" s="368"/>
      <c r="B505" s="368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  <c r="AA505" s="368"/>
    </row>
    <row r="506">
      <c r="A506" s="368"/>
      <c r="B506" s="368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  <c r="AA506" s="368"/>
    </row>
    <row r="507">
      <c r="A507" s="368"/>
      <c r="B507" s="368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  <c r="AA507" s="368"/>
    </row>
    <row r="508">
      <c r="A508" s="368"/>
      <c r="B508" s="368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  <c r="AA508" s="368"/>
    </row>
    <row r="509">
      <c r="A509" s="368"/>
      <c r="B509" s="368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  <c r="AA509" s="368"/>
    </row>
    <row r="510">
      <c r="A510" s="368"/>
      <c r="B510" s="368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  <c r="AA510" s="368"/>
    </row>
    <row r="511">
      <c r="A511" s="368"/>
      <c r="B511" s="368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  <c r="AA511" s="368"/>
    </row>
    <row r="512">
      <c r="A512" s="368"/>
      <c r="B512" s="368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  <c r="AA512" s="368"/>
    </row>
    <row r="513">
      <c r="A513" s="368"/>
      <c r="B513" s="368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  <c r="AA513" s="368"/>
    </row>
    <row r="514">
      <c r="A514" s="368"/>
      <c r="B514" s="368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  <c r="AA514" s="368"/>
    </row>
    <row r="515">
      <c r="A515" s="368"/>
      <c r="B515" s="368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  <c r="AA515" s="368"/>
    </row>
    <row r="516">
      <c r="A516" s="368"/>
      <c r="B516" s="368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  <c r="AA516" s="368"/>
    </row>
    <row r="517">
      <c r="A517" s="368"/>
      <c r="B517" s="368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  <c r="AA517" s="368"/>
    </row>
    <row r="518">
      <c r="A518" s="368"/>
      <c r="B518" s="368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  <c r="AA518" s="368"/>
    </row>
    <row r="519">
      <c r="A519" s="368"/>
      <c r="B519" s="368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  <c r="AA519" s="368"/>
    </row>
    <row r="520">
      <c r="A520" s="368"/>
      <c r="B520" s="368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  <c r="AA520" s="368"/>
    </row>
    <row r="521">
      <c r="A521" s="368"/>
      <c r="B521" s="368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  <c r="AA521" s="368"/>
    </row>
    <row r="522">
      <c r="A522" s="368"/>
      <c r="B522" s="368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  <c r="AA522" s="368"/>
    </row>
    <row r="523">
      <c r="A523" s="368"/>
      <c r="B523" s="368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  <c r="AA523" s="368"/>
    </row>
    <row r="524">
      <c r="A524" s="368"/>
      <c r="B524" s="368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  <c r="AA524" s="368"/>
    </row>
    <row r="525">
      <c r="A525" s="368"/>
      <c r="B525" s="368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  <c r="AA525" s="368"/>
    </row>
    <row r="526">
      <c r="A526" s="368"/>
      <c r="B526" s="368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  <c r="AA526" s="368"/>
    </row>
    <row r="527">
      <c r="A527" s="368"/>
      <c r="B527" s="368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  <c r="AA527" s="368"/>
    </row>
    <row r="528">
      <c r="A528" s="368"/>
      <c r="B528" s="368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  <c r="AA528" s="368"/>
    </row>
    <row r="529">
      <c r="A529" s="368"/>
      <c r="B529" s="368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  <c r="AA529" s="368"/>
    </row>
    <row r="530">
      <c r="A530" s="368"/>
      <c r="B530" s="368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  <c r="AA530" s="368"/>
    </row>
    <row r="531">
      <c r="A531" s="368"/>
      <c r="B531" s="368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  <c r="AA531" s="368"/>
    </row>
    <row r="532">
      <c r="A532" s="368"/>
      <c r="B532" s="368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  <c r="AA532" s="368"/>
    </row>
    <row r="533">
      <c r="A533" s="368"/>
      <c r="B533" s="368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  <c r="AA533" s="368"/>
    </row>
    <row r="534">
      <c r="A534" s="368"/>
      <c r="B534" s="368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  <c r="AA534" s="368"/>
    </row>
    <row r="535">
      <c r="A535" s="368"/>
      <c r="B535" s="368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  <c r="AA535" s="368"/>
    </row>
    <row r="536">
      <c r="A536" s="368"/>
      <c r="B536" s="368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  <c r="AA536" s="368"/>
    </row>
    <row r="537">
      <c r="A537" s="368"/>
      <c r="B537" s="368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  <c r="AA537" s="368"/>
    </row>
    <row r="538">
      <c r="A538" s="368"/>
      <c r="B538" s="368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  <c r="AA538" s="368"/>
    </row>
    <row r="539">
      <c r="A539" s="368"/>
      <c r="B539" s="368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  <c r="AA539" s="368"/>
    </row>
    <row r="540">
      <c r="A540" s="368"/>
      <c r="B540" s="368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  <c r="AA540" s="368"/>
    </row>
    <row r="541">
      <c r="A541" s="368"/>
      <c r="B541" s="368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  <c r="AA541" s="368"/>
    </row>
    <row r="542">
      <c r="A542" s="368"/>
      <c r="B542" s="368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  <c r="AA542" s="368"/>
    </row>
    <row r="543">
      <c r="A543" s="368"/>
      <c r="B543" s="368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  <c r="AA543" s="368"/>
    </row>
    <row r="544">
      <c r="A544" s="368"/>
      <c r="B544" s="368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  <c r="AA544" s="368"/>
    </row>
    <row r="545">
      <c r="A545" s="368"/>
      <c r="B545" s="368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  <c r="AA545" s="368"/>
    </row>
    <row r="546">
      <c r="A546" s="368"/>
      <c r="B546" s="368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  <c r="AA546" s="368"/>
    </row>
    <row r="547">
      <c r="A547" s="368"/>
      <c r="B547" s="368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  <c r="AA547" s="368"/>
    </row>
    <row r="548">
      <c r="A548" s="368"/>
      <c r="B548" s="368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  <c r="AA548" s="368"/>
    </row>
    <row r="549">
      <c r="A549" s="368"/>
      <c r="B549" s="368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  <c r="AA549" s="368"/>
    </row>
    <row r="550">
      <c r="A550" s="368"/>
      <c r="B550" s="368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  <c r="AA550" s="368"/>
    </row>
    <row r="551">
      <c r="A551" s="368"/>
      <c r="B551" s="368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  <c r="AA551" s="368"/>
    </row>
    <row r="552">
      <c r="A552" s="368"/>
      <c r="B552" s="368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  <c r="AA552" s="368"/>
    </row>
    <row r="553">
      <c r="A553" s="368"/>
      <c r="B553" s="368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  <c r="AA553" s="368"/>
    </row>
    <row r="554">
      <c r="A554" s="368"/>
      <c r="B554" s="368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  <c r="AA554" s="368"/>
    </row>
    <row r="555">
      <c r="A555" s="368"/>
      <c r="B555" s="368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  <c r="AA555" s="368"/>
    </row>
    <row r="556">
      <c r="A556" s="368"/>
      <c r="B556" s="368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  <c r="AA556" s="368"/>
    </row>
    <row r="557">
      <c r="A557" s="368"/>
      <c r="B557" s="368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  <c r="AA557" s="368"/>
    </row>
    <row r="558">
      <c r="A558" s="368"/>
      <c r="B558" s="368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  <c r="AA558" s="368"/>
    </row>
    <row r="559">
      <c r="A559" s="368"/>
      <c r="B559" s="368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  <c r="AA559" s="368"/>
    </row>
    <row r="560">
      <c r="A560" s="368"/>
      <c r="B560" s="368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  <c r="AA560" s="368"/>
    </row>
    <row r="561">
      <c r="A561" s="368"/>
      <c r="B561" s="368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  <c r="AA561" s="368"/>
    </row>
    <row r="562">
      <c r="A562" s="368"/>
      <c r="B562" s="368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  <c r="AA562" s="368"/>
    </row>
    <row r="563">
      <c r="A563" s="368"/>
      <c r="B563" s="368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  <c r="AA563" s="368"/>
    </row>
    <row r="564">
      <c r="A564" s="368"/>
      <c r="B564" s="368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  <c r="AA564" s="368"/>
    </row>
    <row r="565">
      <c r="A565" s="368"/>
      <c r="B565" s="368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  <c r="AA565" s="368"/>
    </row>
    <row r="566">
      <c r="A566" s="368"/>
      <c r="B566" s="368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  <c r="AA566" s="368"/>
    </row>
    <row r="567">
      <c r="A567" s="368"/>
      <c r="B567" s="368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  <c r="AA567" s="368"/>
    </row>
    <row r="568">
      <c r="A568" s="368"/>
      <c r="B568" s="368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  <c r="AA568" s="368"/>
    </row>
    <row r="569">
      <c r="A569" s="368"/>
      <c r="B569" s="368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  <c r="AA569" s="368"/>
    </row>
    <row r="570">
      <c r="A570" s="368"/>
      <c r="B570" s="368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  <c r="AA570" s="368"/>
    </row>
    <row r="571">
      <c r="A571" s="368"/>
      <c r="B571" s="368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  <c r="AA571" s="368"/>
    </row>
    <row r="572">
      <c r="A572" s="368"/>
      <c r="B572" s="368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  <c r="AA572" s="368"/>
    </row>
    <row r="573">
      <c r="A573" s="368"/>
      <c r="B573" s="368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  <c r="AA573" s="368"/>
    </row>
    <row r="574">
      <c r="A574" s="368"/>
      <c r="B574" s="368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  <c r="AA574" s="368"/>
    </row>
    <row r="575">
      <c r="A575" s="368"/>
      <c r="B575" s="368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  <c r="AA575" s="368"/>
    </row>
    <row r="576">
      <c r="A576" s="368"/>
      <c r="B576" s="368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  <c r="AA576" s="368"/>
    </row>
    <row r="577">
      <c r="A577" s="368"/>
      <c r="B577" s="368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  <c r="AA577" s="368"/>
    </row>
    <row r="578">
      <c r="A578" s="368"/>
      <c r="B578" s="368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  <c r="AA578" s="368"/>
    </row>
    <row r="579">
      <c r="A579" s="368"/>
      <c r="B579" s="368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  <c r="AA579" s="368"/>
    </row>
    <row r="580">
      <c r="A580" s="368"/>
      <c r="B580" s="368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  <c r="AA580" s="368"/>
    </row>
    <row r="581">
      <c r="A581" s="368"/>
      <c r="B581" s="368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  <c r="AA581" s="368"/>
    </row>
    <row r="582">
      <c r="A582" s="368"/>
      <c r="B582" s="368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  <c r="AA582" s="368"/>
    </row>
    <row r="583">
      <c r="A583" s="368"/>
      <c r="B583" s="368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  <c r="AA583" s="368"/>
    </row>
    <row r="584">
      <c r="A584" s="368"/>
      <c r="B584" s="368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  <c r="AA584" s="368"/>
    </row>
    <row r="585">
      <c r="A585" s="368"/>
      <c r="B585" s="368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  <c r="AA585" s="368"/>
    </row>
    <row r="586">
      <c r="A586" s="368"/>
      <c r="B586" s="368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  <c r="AA586" s="368"/>
    </row>
    <row r="587">
      <c r="A587" s="368"/>
      <c r="B587" s="368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  <c r="AA587" s="368"/>
    </row>
    <row r="588">
      <c r="A588" s="368"/>
      <c r="B588" s="368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  <c r="AA588" s="368"/>
    </row>
    <row r="589">
      <c r="A589" s="368"/>
      <c r="B589" s="368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  <c r="AA589" s="368"/>
    </row>
    <row r="590">
      <c r="A590" s="368"/>
      <c r="B590" s="368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  <c r="AA590" s="368"/>
    </row>
    <row r="591">
      <c r="A591" s="368"/>
      <c r="B591" s="368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  <c r="AA591" s="368"/>
    </row>
    <row r="592">
      <c r="A592" s="368"/>
      <c r="B592" s="368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  <c r="AA592" s="368"/>
    </row>
    <row r="593">
      <c r="A593" s="368"/>
      <c r="B593" s="368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  <c r="AA593" s="368"/>
    </row>
    <row r="594">
      <c r="A594" s="368"/>
      <c r="B594" s="368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  <c r="AA594" s="368"/>
    </row>
    <row r="595">
      <c r="A595" s="368"/>
      <c r="B595" s="368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  <c r="AA595" s="368"/>
    </row>
    <row r="596">
      <c r="A596" s="368"/>
      <c r="B596" s="368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  <c r="AA596" s="368"/>
    </row>
    <row r="597">
      <c r="A597" s="368"/>
      <c r="B597" s="368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  <c r="AA597" s="368"/>
    </row>
    <row r="598">
      <c r="A598" s="368"/>
      <c r="B598" s="368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  <c r="AA598" s="368"/>
    </row>
    <row r="599">
      <c r="A599" s="368"/>
      <c r="B599" s="368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  <c r="AA599" s="368"/>
    </row>
    <row r="600">
      <c r="A600" s="368"/>
      <c r="B600" s="368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  <c r="AA600" s="368"/>
    </row>
    <row r="601">
      <c r="A601" s="368"/>
      <c r="B601" s="368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  <c r="AA601" s="368"/>
    </row>
    <row r="602">
      <c r="A602" s="368"/>
      <c r="B602" s="368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  <c r="AA602" s="368"/>
    </row>
    <row r="603">
      <c r="A603" s="368"/>
      <c r="B603" s="368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  <c r="AA603" s="368"/>
    </row>
    <row r="604">
      <c r="A604" s="368"/>
      <c r="B604" s="368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  <c r="AA604" s="368"/>
    </row>
    <row r="605">
      <c r="A605" s="368"/>
      <c r="B605" s="368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  <c r="AA605" s="368"/>
    </row>
    <row r="606">
      <c r="A606" s="368"/>
      <c r="B606" s="368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  <c r="AA606" s="368"/>
    </row>
    <row r="607">
      <c r="A607" s="368"/>
      <c r="B607" s="368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  <c r="AA607" s="368"/>
    </row>
    <row r="608">
      <c r="A608" s="368"/>
      <c r="B608" s="368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  <c r="AA608" s="368"/>
    </row>
    <row r="609">
      <c r="A609" s="368"/>
      <c r="B609" s="368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  <c r="AA609" s="368"/>
    </row>
    <row r="610">
      <c r="A610" s="368"/>
      <c r="B610" s="368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  <c r="AA610" s="368"/>
    </row>
    <row r="611">
      <c r="A611" s="368"/>
      <c r="B611" s="368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  <c r="AA611" s="368"/>
    </row>
    <row r="612">
      <c r="A612" s="368"/>
      <c r="B612" s="368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  <c r="AA612" s="368"/>
    </row>
    <row r="613">
      <c r="A613" s="368"/>
      <c r="B613" s="368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  <c r="AA613" s="368"/>
    </row>
    <row r="614">
      <c r="A614" s="368"/>
      <c r="B614" s="368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  <c r="AA614" s="368"/>
    </row>
    <row r="615">
      <c r="A615" s="368"/>
      <c r="B615" s="368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  <c r="AA615" s="368"/>
    </row>
    <row r="616">
      <c r="A616" s="368"/>
      <c r="B616" s="368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  <c r="AA616" s="368"/>
    </row>
    <row r="617">
      <c r="A617" s="368"/>
      <c r="B617" s="368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  <c r="AA617" s="368"/>
    </row>
    <row r="618">
      <c r="A618" s="368"/>
      <c r="B618" s="368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  <c r="AA618" s="368"/>
    </row>
    <row r="619">
      <c r="A619" s="368"/>
      <c r="B619" s="368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  <c r="AA619" s="368"/>
    </row>
    <row r="620">
      <c r="A620" s="368"/>
      <c r="B620" s="368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  <c r="AA620" s="368"/>
    </row>
    <row r="621">
      <c r="A621" s="368"/>
      <c r="B621" s="368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  <c r="AA621" s="368"/>
    </row>
    <row r="622">
      <c r="A622" s="368"/>
      <c r="B622" s="368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  <c r="AA622" s="368"/>
    </row>
    <row r="623">
      <c r="A623" s="368"/>
      <c r="B623" s="368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  <c r="AA623" s="368"/>
    </row>
    <row r="624">
      <c r="A624" s="368"/>
      <c r="B624" s="368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  <c r="AA624" s="368"/>
    </row>
    <row r="625">
      <c r="A625" s="368"/>
      <c r="B625" s="368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  <c r="AA625" s="368"/>
    </row>
    <row r="626">
      <c r="A626" s="368"/>
      <c r="B626" s="368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  <c r="AA626" s="368"/>
    </row>
    <row r="627">
      <c r="A627" s="368"/>
      <c r="B627" s="368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  <c r="AA627" s="368"/>
    </row>
    <row r="628">
      <c r="A628" s="368"/>
      <c r="B628" s="368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  <c r="AA628" s="368"/>
    </row>
    <row r="629">
      <c r="A629" s="368"/>
      <c r="B629" s="368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  <c r="AA629" s="368"/>
    </row>
    <row r="630">
      <c r="A630" s="368"/>
      <c r="B630" s="368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  <c r="AA630" s="368"/>
    </row>
    <row r="631">
      <c r="A631" s="368"/>
      <c r="B631" s="368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  <c r="AA631" s="368"/>
    </row>
    <row r="632">
      <c r="A632" s="368"/>
      <c r="B632" s="368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  <c r="AA632" s="368"/>
    </row>
    <row r="633">
      <c r="A633" s="368"/>
      <c r="B633" s="368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  <c r="AA633" s="368"/>
    </row>
    <row r="634">
      <c r="A634" s="368"/>
      <c r="B634" s="368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  <c r="AA634" s="368"/>
    </row>
    <row r="635">
      <c r="A635" s="368"/>
      <c r="B635" s="368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  <c r="AA635" s="368"/>
    </row>
    <row r="636">
      <c r="A636" s="368"/>
      <c r="B636" s="368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  <c r="AA636" s="368"/>
    </row>
    <row r="637">
      <c r="A637" s="368"/>
      <c r="B637" s="368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  <c r="AA637" s="368"/>
    </row>
    <row r="638">
      <c r="A638" s="368"/>
      <c r="B638" s="368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  <c r="AA638" s="368"/>
    </row>
    <row r="639">
      <c r="A639" s="368"/>
      <c r="B639" s="368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  <c r="AA639" s="368"/>
    </row>
    <row r="640">
      <c r="A640" s="368"/>
      <c r="B640" s="368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  <c r="AA640" s="368"/>
    </row>
    <row r="641">
      <c r="A641" s="368"/>
      <c r="B641" s="368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  <c r="AA641" s="368"/>
    </row>
    <row r="642">
      <c r="A642" s="368"/>
      <c r="B642" s="368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  <c r="AA642" s="368"/>
    </row>
    <row r="643">
      <c r="A643" s="368"/>
      <c r="B643" s="368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  <c r="AA643" s="368"/>
    </row>
    <row r="644">
      <c r="A644" s="368"/>
      <c r="B644" s="368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  <c r="AA644" s="368"/>
    </row>
    <row r="645">
      <c r="A645" s="368"/>
      <c r="B645" s="368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  <c r="AA645" s="368"/>
    </row>
    <row r="646">
      <c r="A646" s="368"/>
      <c r="B646" s="368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  <c r="AA646" s="368"/>
    </row>
    <row r="647">
      <c r="A647" s="368"/>
      <c r="B647" s="368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  <c r="AA647" s="368"/>
    </row>
    <row r="648">
      <c r="A648" s="368"/>
      <c r="B648" s="368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  <c r="AA648" s="368"/>
    </row>
    <row r="649">
      <c r="A649" s="368"/>
      <c r="B649" s="368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  <c r="AA649" s="368"/>
    </row>
    <row r="650">
      <c r="A650" s="368"/>
      <c r="B650" s="368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  <c r="AA650" s="368"/>
    </row>
    <row r="651">
      <c r="A651" s="368"/>
      <c r="B651" s="368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  <c r="AA651" s="368"/>
    </row>
    <row r="652">
      <c r="A652" s="368"/>
      <c r="B652" s="368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  <c r="AA652" s="368"/>
    </row>
    <row r="653">
      <c r="A653" s="368"/>
      <c r="B653" s="368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  <c r="AA653" s="368"/>
    </row>
    <row r="654">
      <c r="A654" s="368"/>
      <c r="B654" s="368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  <c r="AA654" s="368"/>
    </row>
    <row r="655">
      <c r="A655" s="368"/>
      <c r="B655" s="368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  <c r="AA655" s="368"/>
    </row>
    <row r="656">
      <c r="A656" s="368"/>
      <c r="B656" s="368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  <c r="AA656" s="368"/>
    </row>
    <row r="657">
      <c r="A657" s="368"/>
      <c r="B657" s="368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  <c r="AA657" s="368"/>
    </row>
    <row r="658">
      <c r="A658" s="368"/>
      <c r="B658" s="368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  <c r="AA658" s="368"/>
    </row>
    <row r="659">
      <c r="A659" s="368"/>
      <c r="B659" s="368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  <c r="AA659" s="368"/>
    </row>
    <row r="660">
      <c r="A660" s="368"/>
      <c r="B660" s="368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  <c r="AA660" s="368"/>
    </row>
    <row r="661">
      <c r="A661" s="368"/>
      <c r="B661" s="368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  <c r="AA661" s="368"/>
    </row>
    <row r="662">
      <c r="A662" s="368"/>
      <c r="B662" s="368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  <c r="AA662" s="368"/>
    </row>
    <row r="663">
      <c r="A663" s="368"/>
      <c r="B663" s="368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  <c r="AA663" s="368"/>
    </row>
    <row r="664">
      <c r="A664" s="368"/>
      <c r="B664" s="368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  <c r="AA664" s="368"/>
    </row>
    <row r="665">
      <c r="A665" s="368"/>
      <c r="B665" s="368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  <c r="AA665" s="368"/>
    </row>
    <row r="666">
      <c r="A666" s="368"/>
      <c r="B666" s="368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  <c r="AA666" s="368"/>
    </row>
    <row r="667">
      <c r="A667" s="368"/>
      <c r="B667" s="368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  <c r="AA667" s="368"/>
    </row>
    <row r="668">
      <c r="A668" s="368"/>
      <c r="B668" s="368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  <c r="AA668" s="368"/>
    </row>
    <row r="669">
      <c r="A669" s="368"/>
      <c r="B669" s="368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  <c r="AA669" s="368"/>
    </row>
    <row r="670">
      <c r="A670" s="368"/>
      <c r="B670" s="368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  <c r="AA670" s="368"/>
    </row>
    <row r="671">
      <c r="A671" s="368"/>
      <c r="B671" s="368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  <c r="AA671" s="368"/>
    </row>
    <row r="672">
      <c r="A672" s="368"/>
      <c r="B672" s="368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  <c r="AA672" s="368"/>
    </row>
    <row r="673">
      <c r="A673" s="368"/>
      <c r="B673" s="368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  <c r="AA673" s="368"/>
    </row>
    <row r="674">
      <c r="A674" s="368"/>
      <c r="B674" s="368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  <c r="AA674" s="368"/>
    </row>
    <row r="675">
      <c r="A675" s="368"/>
      <c r="B675" s="368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  <c r="AA675" s="368"/>
    </row>
    <row r="676">
      <c r="A676" s="368"/>
      <c r="B676" s="368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  <c r="AA676" s="368"/>
    </row>
    <row r="677">
      <c r="A677" s="368"/>
      <c r="B677" s="368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  <c r="AA677" s="368"/>
    </row>
    <row r="678">
      <c r="A678" s="368"/>
      <c r="B678" s="368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  <c r="AA678" s="368"/>
    </row>
    <row r="679">
      <c r="A679" s="368"/>
      <c r="B679" s="368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  <c r="AA679" s="368"/>
    </row>
    <row r="680">
      <c r="A680" s="368"/>
      <c r="B680" s="368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  <c r="AA680" s="368"/>
    </row>
    <row r="681">
      <c r="A681" s="368"/>
      <c r="B681" s="368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  <c r="AA681" s="368"/>
    </row>
    <row r="682">
      <c r="A682" s="368"/>
      <c r="B682" s="368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  <c r="AA682" s="368"/>
    </row>
    <row r="683">
      <c r="A683" s="368"/>
      <c r="B683" s="368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  <c r="AA683" s="368"/>
    </row>
    <row r="684">
      <c r="A684" s="368"/>
      <c r="B684" s="368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  <c r="AA684" s="368"/>
    </row>
    <row r="685">
      <c r="A685" s="368"/>
      <c r="B685" s="368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  <c r="AA685" s="368"/>
    </row>
    <row r="686">
      <c r="A686" s="368"/>
      <c r="B686" s="368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  <c r="AA686" s="368"/>
    </row>
    <row r="687">
      <c r="A687" s="368"/>
      <c r="B687" s="368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  <c r="AA687" s="368"/>
    </row>
    <row r="688">
      <c r="A688" s="368"/>
      <c r="B688" s="368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  <c r="AA688" s="368"/>
    </row>
    <row r="689">
      <c r="A689" s="368"/>
      <c r="B689" s="368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  <c r="AA689" s="368"/>
    </row>
    <row r="690">
      <c r="A690" s="368"/>
      <c r="B690" s="368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  <c r="AA690" s="368"/>
    </row>
    <row r="691">
      <c r="A691" s="368"/>
      <c r="B691" s="368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  <c r="AA691" s="368"/>
    </row>
    <row r="692">
      <c r="A692" s="368"/>
      <c r="B692" s="368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  <c r="AA692" s="368"/>
    </row>
    <row r="693">
      <c r="A693" s="368"/>
      <c r="B693" s="368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  <c r="AA693" s="368"/>
    </row>
    <row r="694">
      <c r="A694" s="368"/>
      <c r="B694" s="368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  <c r="AA694" s="368"/>
    </row>
    <row r="695">
      <c r="A695" s="368"/>
      <c r="B695" s="368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  <c r="AA695" s="368"/>
    </row>
    <row r="696">
      <c r="A696" s="368"/>
      <c r="B696" s="368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  <c r="AA696" s="368"/>
    </row>
    <row r="697">
      <c r="A697" s="368"/>
      <c r="B697" s="368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  <c r="AA697" s="368"/>
    </row>
    <row r="698">
      <c r="A698" s="368"/>
      <c r="B698" s="368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  <c r="AA698" s="368"/>
    </row>
    <row r="699">
      <c r="A699" s="368"/>
      <c r="B699" s="368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  <c r="AA699" s="368"/>
    </row>
    <row r="700">
      <c r="A700" s="368"/>
      <c r="B700" s="368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  <c r="AA700" s="368"/>
    </row>
    <row r="701">
      <c r="A701" s="368"/>
      <c r="B701" s="368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  <c r="AA701" s="368"/>
    </row>
    <row r="702">
      <c r="A702" s="368"/>
      <c r="B702" s="368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  <c r="AA702" s="368"/>
    </row>
    <row r="703">
      <c r="A703" s="368"/>
      <c r="B703" s="368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  <c r="AA703" s="368"/>
    </row>
    <row r="704">
      <c r="A704" s="368"/>
      <c r="B704" s="368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  <c r="AA704" s="368"/>
    </row>
    <row r="705">
      <c r="A705" s="368"/>
      <c r="B705" s="368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  <c r="AA705" s="368"/>
    </row>
    <row r="706">
      <c r="A706" s="368"/>
      <c r="B706" s="368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  <c r="AA706" s="368"/>
    </row>
    <row r="707">
      <c r="A707" s="368"/>
      <c r="B707" s="368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  <c r="AA707" s="368"/>
    </row>
    <row r="708">
      <c r="A708" s="368"/>
      <c r="B708" s="368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  <c r="AA708" s="368"/>
    </row>
    <row r="709">
      <c r="A709" s="368"/>
      <c r="B709" s="368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  <c r="AA709" s="368"/>
    </row>
    <row r="710">
      <c r="A710" s="368"/>
      <c r="B710" s="368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  <c r="AA710" s="368"/>
    </row>
    <row r="711">
      <c r="A711" s="368"/>
      <c r="B711" s="368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  <c r="AA711" s="368"/>
    </row>
    <row r="712">
      <c r="A712" s="368"/>
      <c r="B712" s="368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  <c r="AA712" s="368"/>
    </row>
    <row r="713">
      <c r="A713" s="368"/>
      <c r="B713" s="368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  <c r="AA713" s="368"/>
    </row>
    <row r="714">
      <c r="A714" s="368"/>
      <c r="B714" s="368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  <c r="AA714" s="368"/>
    </row>
    <row r="715">
      <c r="A715" s="368"/>
      <c r="B715" s="368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  <c r="AA715" s="368"/>
    </row>
    <row r="716">
      <c r="A716" s="368"/>
      <c r="B716" s="368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  <c r="AA716" s="368"/>
    </row>
    <row r="717">
      <c r="A717" s="368"/>
      <c r="B717" s="368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  <c r="AA717" s="368"/>
    </row>
    <row r="718">
      <c r="A718" s="368"/>
      <c r="B718" s="368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  <c r="AA718" s="368"/>
    </row>
    <row r="719">
      <c r="A719" s="368"/>
      <c r="B719" s="368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  <c r="AA719" s="368"/>
    </row>
    <row r="720">
      <c r="A720" s="368"/>
      <c r="B720" s="368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  <c r="AA720" s="368"/>
    </row>
    <row r="721">
      <c r="A721" s="368"/>
      <c r="B721" s="368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  <c r="AA721" s="368"/>
    </row>
    <row r="722">
      <c r="A722" s="368"/>
      <c r="B722" s="368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  <c r="AA722" s="368"/>
    </row>
    <row r="723">
      <c r="A723" s="368"/>
      <c r="B723" s="368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  <c r="AA723" s="368"/>
    </row>
    <row r="724">
      <c r="A724" s="368"/>
      <c r="B724" s="368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  <c r="AA724" s="368"/>
    </row>
    <row r="725">
      <c r="A725" s="368"/>
      <c r="B725" s="368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  <c r="AA725" s="368"/>
    </row>
    <row r="726">
      <c r="A726" s="368"/>
      <c r="B726" s="368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  <c r="AA726" s="368"/>
    </row>
    <row r="727">
      <c r="A727" s="368"/>
      <c r="B727" s="368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  <c r="AA727" s="368"/>
    </row>
    <row r="728">
      <c r="A728" s="368"/>
      <c r="B728" s="368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  <c r="AA728" s="368"/>
    </row>
    <row r="729">
      <c r="A729" s="368"/>
      <c r="B729" s="368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  <c r="AA729" s="368"/>
    </row>
    <row r="730">
      <c r="A730" s="368"/>
      <c r="B730" s="368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  <c r="AA730" s="368"/>
    </row>
    <row r="731">
      <c r="A731" s="368"/>
      <c r="B731" s="368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  <c r="AA731" s="368"/>
    </row>
    <row r="732">
      <c r="A732" s="368"/>
      <c r="B732" s="368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  <c r="AA732" s="368"/>
    </row>
    <row r="733">
      <c r="A733" s="368"/>
      <c r="B733" s="368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  <c r="AA733" s="368"/>
    </row>
    <row r="734">
      <c r="A734" s="368"/>
      <c r="B734" s="368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  <c r="AA734" s="368"/>
    </row>
    <row r="735">
      <c r="A735" s="368"/>
      <c r="B735" s="368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  <c r="AA735" s="368"/>
    </row>
    <row r="736">
      <c r="A736" s="368"/>
      <c r="B736" s="368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  <c r="AA736" s="368"/>
    </row>
    <row r="737">
      <c r="A737" s="368"/>
      <c r="B737" s="368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  <c r="AA737" s="368"/>
    </row>
    <row r="738">
      <c r="A738" s="368"/>
      <c r="B738" s="368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  <c r="AA738" s="368"/>
    </row>
    <row r="739">
      <c r="A739" s="368"/>
      <c r="B739" s="368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  <c r="AA739" s="368"/>
    </row>
    <row r="740">
      <c r="A740" s="368"/>
      <c r="B740" s="368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  <c r="AA740" s="368"/>
    </row>
    <row r="741">
      <c r="A741" s="368"/>
      <c r="B741" s="368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  <c r="AA741" s="368"/>
    </row>
    <row r="742">
      <c r="A742" s="368"/>
      <c r="B742" s="368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  <c r="AA742" s="368"/>
    </row>
    <row r="743">
      <c r="A743" s="368"/>
      <c r="B743" s="368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  <c r="AA743" s="368"/>
    </row>
    <row r="744">
      <c r="A744" s="368"/>
      <c r="B744" s="368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  <c r="AA744" s="368"/>
    </row>
    <row r="745">
      <c r="A745" s="368"/>
      <c r="B745" s="368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  <c r="AA745" s="368"/>
    </row>
    <row r="746">
      <c r="A746" s="368"/>
      <c r="B746" s="368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  <c r="AA746" s="368"/>
    </row>
    <row r="747">
      <c r="A747" s="368"/>
      <c r="B747" s="368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  <c r="AA747" s="368"/>
    </row>
    <row r="748">
      <c r="A748" s="368"/>
      <c r="B748" s="368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  <c r="AA748" s="368"/>
    </row>
    <row r="749">
      <c r="A749" s="368"/>
      <c r="B749" s="368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  <c r="AA749" s="368"/>
    </row>
    <row r="750">
      <c r="A750" s="368"/>
      <c r="B750" s="368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  <c r="AA750" s="368"/>
    </row>
    <row r="751">
      <c r="A751" s="368"/>
      <c r="B751" s="368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  <c r="AA751" s="368"/>
    </row>
    <row r="752">
      <c r="A752" s="368"/>
      <c r="B752" s="368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  <c r="AA752" s="368"/>
    </row>
    <row r="753">
      <c r="A753" s="368"/>
      <c r="B753" s="368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  <c r="AA753" s="368"/>
    </row>
    <row r="754">
      <c r="A754" s="368"/>
      <c r="B754" s="368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  <c r="AA754" s="368"/>
    </row>
    <row r="755">
      <c r="A755" s="368"/>
      <c r="B755" s="368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  <c r="AA755" s="368"/>
    </row>
    <row r="756">
      <c r="A756" s="368"/>
      <c r="B756" s="368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  <c r="AA756" s="368"/>
    </row>
    <row r="757">
      <c r="A757" s="368"/>
      <c r="B757" s="368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  <c r="AA757" s="368"/>
    </row>
    <row r="758">
      <c r="A758" s="368"/>
      <c r="B758" s="368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  <c r="AA758" s="368"/>
    </row>
    <row r="759">
      <c r="A759" s="368"/>
      <c r="B759" s="368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  <c r="AA759" s="368"/>
    </row>
    <row r="760">
      <c r="A760" s="368"/>
      <c r="B760" s="368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  <c r="AA760" s="368"/>
    </row>
    <row r="761">
      <c r="A761" s="368"/>
      <c r="B761" s="368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  <c r="AA761" s="368"/>
    </row>
    <row r="762">
      <c r="A762" s="368"/>
      <c r="B762" s="368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  <c r="AA762" s="368"/>
    </row>
    <row r="763">
      <c r="A763" s="368"/>
      <c r="B763" s="368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  <c r="AA763" s="368"/>
    </row>
    <row r="764">
      <c r="A764" s="368"/>
      <c r="B764" s="368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  <c r="AA764" s="368"/>
    </row>
    <row r="765">
      <c r="A765" s="368"/>
      <c r="B765" s="368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  <c r="AA765" s="368"/>
    </row>
    <row r="766">
      <c r="A766" s="368"/>
      <c r="B766" s="368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  <c r="AA766" s="368"/>
    </row>
    <row r="767">
      <c r="A767" s="368"/>
      <c r="B767" s="368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  <c r="AA767" s="368"/>
    </row>
    <row r="768">
      <c r="A768" s="368"/>
      <c r="B768" s="368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  <c r="AA768" s="368"/>
    </row>
    <row r="769">
      <c r="A769" s="368"/>
      <c r="B769" s="368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  <c r="AA769" s="368"/>
    </row>
    <row r="770">
      <c r="A770" s="368"/>
      <c r="B770" s="368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  <c r="AA770" s="368"/>
    </row>
    <row r="771">
      <c r="A771" s="368"/>
      <c r="B771" s="368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  <c r="AA771" s="368"/>
    </row>
    <row r="772">
      <c r="A772" s="368"/>
      <c r="B772" s="368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  <c r="AA772" s="368"/>
    </row>
    <row r="773">
      <c r="A773" s="368"/>
      <c r="B773" s="368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  <c r="AA773" s="368"/>
    </row>
    <row r="774">
      <c r="A774" s="368"/>
      <c r="B774" s="368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  <c r="AA774" s="368"/>
    </row>
    <row r="775">
      <c r="A775" s="368"/>
      <c r="B775" s="368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  <c r="AA775" s="368"/>
    </row>
    <row r="776">
      <c r="A776" s="368"/>
      <c r="B776" s="368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  <c r="AA776" s="368"/>
    </row>
    <row r="777">
      <c r="A777" s="368"/>
      <c r="B777" s="368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  <c r="AA777" s="368"/>
    </row>
    <row r="778">
      <c r="A778" s="368"/>
      <c r="B778" s="368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  <c r="AA778" s="368"/>
    </row>
    <row r="779">
      <c r="A779" s="368"/>
      <c r="B779" s="368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  <c r="AA779" s="368"/>
    </row>
    <row r="780">
      <c r="A780" s="368"/>
      <c r="B780" s="368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  <c r="AA780" s="368"/>
    </row>
    <row r="781">
      <c r="A781" s="368"/>
      <c r="B781" s="368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  <c r="AA781" s="368"/>
    </row>
    <row r="782">
      <c r="A782" s="368"/>
      <c r="B782" s="368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  <c r="AA782" s="368"/>
    </row>
    <row r="783">
      <c r="A783" s="368"/>
      <c r="B783" s="368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  <c r="AA783" s="368"/>
    </row>
    <row r="784">
      <c r="A784" s="368"/>
      <c r="B784" s="368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  <c r="AA784" s="368"/>
    </row>
    <row r="785">
      <c r="A785" s="368"/>
      <c r="B785" s="368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  <c r="AA785" s="368"/>
    </row>
    <row r="786">
      <c r="A786" s="368"/>
      <c r="B786" s="368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  <c r="AA786" s="368"/>
    </row>
    <row r="787">
      <c r="A787" s="368"/>
      <c r="B787" s="368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  <c r="AA787" s="368"/>
    </row>
    <row r="788">
      <c r="A788" s="368"/>
      <c r="B788" s="368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  <c r="AA788" s="368"/>
    </row>
    <row r="789">
      <c r="A789" s="368"/>
      <c r="B789" s="368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  <c r="AA789" s="368"/>
    </row>
    <row r="790">
      <c r="A790" s="368"/>
      <c r="B790" s="368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  <c r="AA790" s="368"/>
    </row>
    <row r="791">
      <c r="A791" s="368"/>
      <c r="B791" s="368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  <c r="AA791" s="368"/>
    </row>
    <row r="792">
      <c r="A792" s="368"/>
      <c r="B792" s="368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  <c r="AA792" s="368"/>
    </row>
    <row r="793">
      <c r="A793" s="368"/>
      <c r="B793" s="368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  <c r="AA793" s="368"/>
    </row>
    <row r="794">
      <c r="A794" s="368"/>
      <c r="B794" s="368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  <c r="AA794" s="368"/>
    </row>
    <row r="795">
      <c r="A795" s="368"/>
      <c r="B795" s="368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  <c r="AA795" s="368"/>
    </row>
    <row r="796">
      <c r="A796" s="368"/>
      <c r="B796" s="368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  <c r="AA796" s="368"/>
    </row>
    <row r="797">
      <c r="A797" s="368"/>
      <c r="B797" s="368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  <c r="AA797" s="368"/>
    </row>
    <row r="798">
      <c r="A798" s="368"/>
      <c r="B798" s="368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  <c r="AA798" s="368"/>
    </row>
    <row r="799">
      <c r="A799" s="368"/>
      <c r="B799" s="368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  <c r="AA799" s="368"/>
    </row>
    <row r="800">
      <c r="A800" s="368"/>
      <c r="B800" s="368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  <c r="AA800" s="368"/>
    </row>
    <row r="801">
      <c r="A801" s="368"/>
      <c r="B801" s="368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  <c r="AA801" s="368"/>
    </row>
    <row r="802">
      <c r="A802" s="368"/>
      <c r="B802" s="368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  <c r="AA802" s="368"/>
    </row>
    <row r="803">
      <c r="A803" s="368"/>
      <c r="B803" s="368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  <c r="AA803" s="368"/>
    </row>
    <row r="804">
      <c r="A804" s="368"/>
      <c r="B804" s="368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  <c r="AA804" s="368"/>
    </row>
    <row r="805">
      <c r="A805" s="368"/>
      <c r="B805" s="368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  <c r="AA805" s="368"/>
    </row>
    <row r="806">
      <c r="A806" s="368"/>
      <c r="B806" s="368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  <c r="AA806" s="368"/>
    </row>
    <row r="807">
      <c r="A807" s="368"/>
      <c r="B807" s="368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  <c r="AA807" s="368"/>
    </row>
    <row r="808">
      <c r="A808" s="368"/>
      <c r="B808" s="368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  <c r="AA808" s="368"/>
    </row>
    <row r="809">
      <c r="A809" s="368"/>
      <c r="B809" s="368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  <c r="AA809" s="368"/>
    </row>
    <row r="810">
      <c r="A810" s="368"/>
      <c r="B810" s="368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  <c r="AA810" s="368"/>
    </row>
    <row r="811">
      <c r="A811" s="368"/>
      <c r="B811" s="368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  <c r="AA811" s="368"/>
    </row>
    <row r="812">
      <c r="A812" s="368"/>
      <c r="B812" s="368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  <c r="AA812" s="368"/>
    </row>
    <row r="813">
      <c r="A813" s="368"/>
      <c r="B813" s="368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  <c r="AA813" s="368"/>
    </row>
    <row r="814">
      <c r="A814" s="368"/>
      <c r="B814" s="368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  <c r="AA814" s="368"/>
    </row>
    <row r="815">
      <c r="A815" s="368"/>
      <c r="B815" s="368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  <c r="AA815" s="368"/>
    </row>
    <row r="816">
      <c r="A816" s="368"/>
      <c r="B816" s="368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  <c r="AA816" s="368"/>
    </row>
    <row r="817">
      <c r="A817" s="368"/>
      <c r="B817" s="368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  <c r="AA817" s="368"/>
    </row>
    <row r="818">
      <c r="A818" s="368"/>
      <c r="B818" s="368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  <c r="AA818" s="368"/>
    </row>
    <row r="819">
      <c r="A819" s="368"/>
      <c r="B819" s="368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  <c r="AA819" s="368"/>
    </row>
    <row r="820">
      <c r="A820" s="368"/>
      <c r="B820" s="368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  <c r="AA820" s="368"/>
    </row>
    <row r="821">
      <c r="A821" s="368"/>
      <c r="B821" s="368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  <c r="AA821" s="368"/>
    </row>
    <row r="822">
      <c r="A822" s="368"/>
      <c r="B822" s="368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  <c r="AA822" s="368"/>
    </row>
    <row r="823">
      <c r="A823" s="368"/>
      <c r="B823" s="368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  <c r="AA823" s="368"/>
    </row>
    <row r="824">
      <c r="A824" s="368"/>
      <c r="B824" s="368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  <c r="AA824" s="368"/>
    </row>
    <row r="825">
      <c r="A825" s="368"/>
      <c r="B825" s="368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  <c r="AA825" s="368"/>
    </row>
    <row r="826">
      <c r="A826" s="368"/>
      <c r="B826" s="368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  <c r="AA826" s="368"/>
    </row>
    <row r="827">
      <c r="A827" s="368"/>
      <c r="B827" s="368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  <c r="AA827" s="368"/>
    </row>
    <row r="828">
      <c r="A828" s="368"/>
      <c r="B828" s="368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  <c r="AA828" s="368"/>
    </row>
    <row r="829">
      <c r="A829" s="368"/>
      <c r="B829" s="368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  <c r="AA829" s="368"/>
    </row>
    <row r="830">
      <c r="A830" s="368"/>
      <c r="B830" s="368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  <c r="AA830" s="368"/>
    </row>
    <row r="831">
      <c r="A831" s="368"/>
      <c r="B831" s="368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  <c r="AA831" s="368"/>
    </row>
    <row r="832">
      <c r="A832" s="368"/>
      <c r="B832" s="368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  <c r="AA832" s="368"/>
    </row>
    <row r="833">
      <c r="A833" s="368"/>
      <c r="B833" s="368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  <c r="AA833" s="368"/>
    </row>
    <row r="834">
      <c r="A834" s="368"/>
      <c r="B834" s="368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  <c r="AA834" s="368"/>
    </row>
    <row r="835">
      <c r="A835" s="368"/>
      <c r="B835" s="368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  <c r="AA835" s="368"/>
    </row>
    <row r="836">
      <c r="A836" s="368"/>
      <c r="B836" s="368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  <c r="AA836" s="368"/>
    </row>
    <row r="837">
      <c r="A837" s="368"/>
      <c r="B837" s="368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  <c r="AA837" s="368"/>
    </row>
    <row r="838">
      <c r="A838" s="368"/>
      <c r="B838" s="368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  <c r="AA838" s="368"/>
    </row>
    <row r="839">
      <c r="A839" s="368"/>
      <c r="B839" s="368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  <c r="AA839" s="368"/>
    </row>
    <row r="840">
      <c r="A840" s="368"/>
      <c r="B840" s="368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  <c r="AA840" s="368"/>
    </row>
    <row r="841">
      <c r="A841" s="368"/>
      <c r="B841" s="368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  <c r="AA841" s="368"/>
    </row>
    <row r="842">
      <c r="A842" s="368"/>
      <c r="B842" s="368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  <c r="AA842" s="368"/>
    </row>
    <row r="843">
      <c r="A843" s="368"/>
      <c r="B843" s="368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  <c r="AA843" s="368"/>
    </row>
    <row r="844">
      <c r="A844" s="368"/>
      <c r="B844" s="368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  <c r="AA844" s="368"/>
    </row>
    <row r="845">
      <c r="A845" s="368"/>
      <c r="B845" s="368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  <c r="AA845" s="368"/>
    </row>
    <row r="846">
      <c r="A846" s="368"/>
      <c r="B846" s="368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  <c r="AA846" s="368"/>
    </row>
    <row r="847">
      <c r="A847" s="368"/>
      <c r="B847" s="368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  <c r="AA847" s="368"/>
    </row>
    <row r="848">
      <c r="A848" s="368"/>
      <c r="B848" s="368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  <c r="AA848" s="368"/>
    </row>
    <row r="849">
      <c r="A849" s="368"/>
      <c r="B849" s="368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  <c r="AA849" s="368"/>
    </row>
    <row r="850">
      <c r="A850" s="368"/>
      <c r="B850" s="368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  <c r="AA850" s="368"/>
    </row>
    <row r="851">
      <c r="A851" s="368"/>
      <c r="B851" s="368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  <c r="AA851" s="368"/>
    </row>
    <row r="852">
      <c r="A852" s="368"/>
      <c r="B852" s="368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  <c r="AA852" s="368"/>
    </row>
    <row r="853">
      <c r="A853" s="368"/>
      <c r="B853" s="368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  <c r="AA853" s="368"/>
    </row>
    <row r="854">
      <c r="A854" s="368"/>
      <c r="B854" s="368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  <c r="AA854" s="368"/>
    </row>
    <row r="855">
      <c r="A855" s="368"/>
      <c r="B855" s="368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  <c r="AA855" s="368"/>
    </row>
    <row r="856">
      <c r="A856" s="368"/>
      <c r="B856" s="368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  <c r="AA856" s="368"/>
    </row>
    <row r="857">
      <c r="A857" s="368"/>
      <c r="B857" s="368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  <c r="AA857" s="368"/>
    </row>
    <row r="858">
      <c r="A858" s="368"/>
      <c r="B858" s="368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  <c r="AA858" s="368"/>
    </row>
    <row r="859">
      <c r="A859" s="368"/>
      <c r="B859" s="368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  <c r="AA859" s="368"/>
    </row>
    <row r="860">
      <c r="A860" s="368"/>
      <c r="B860" s="368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  <c r="AA860" s="368"/>
    </row>
    <row r="861">
      <c r="A861" s="368"/>
      <c r="B861" s="368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  <c r="AA861" s="368"/>
    </row>
    <row r="862">
      <c r="A862" s="368"/>
      <c r="B862" s="368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  <c r="AA862" s="368"/>
    </row>
    <row r="863">
      <c r="A863" s="368"/>
      <c r="B863" s="368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  <c r="AA863" s="368"/>
    </row>
    <row r="864">
      <c r="A864" s="368"/>
      <c r="B864" s="368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  <c r="AA864" s="368"/>
    </row>
    <row r="865">
      <c r="A865" s="368"/>
      <c r="B865" s="368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  <c r="AA865" s="368"/>
    </row>
    <row r="866">
      <c r="A866" s="368"/>
      <c r="B866" s="368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  <c r="AA866" s="368"/>
    </row>
    <row r="867">
      <c r="A867" s="368"/>
      <c r="B867" s="368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  <c r="AA867" s="368"/>
    </row>
    <row r="868">
      <c r="A868" s="368"/>
      <c r="B868" s="368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  <c r="AA868" s="368"/>
    </row>
    <row r="869">
      <c r="A869" s="368"/>
      <c r="B869" s="368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  <c r="AA869" s="368"/>
    </row>
    <row r="870">
      <c r="A870" s="368"/>
      <c r="B870" s="368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  <c r="AA870" s="368"/>
    </row>
    <row r="871">
      <c r="A871" s="368"/>
      <c r="B871" s="368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  <c r="AA871" s="368"/>
    </row>
    <row r="872">
      <c r="A872" s="368"/>
      <c r="B872" s="368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  <c r="AA872" s="368"/>
    </row>
    <row r="873">
      <c r="A873" s="368"/>
      <c r="B873" s="368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  <c r="AA873" s="368"/>
    </row>
    <row r="874">
      <c r="A874" s="368"/>
      <c r="B874" s="368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  <c r="AA874" s="368"/>
    </row>
    <row r="875">
      <c r="A875" s="368"/>
      <c r="B875" s="368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  <c r="AA875" s="368"/>
    </row>
    <row r="876">
      <c r="A876" s="368"/>
      <c r="B876" s="368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  <c r="AA876" s="368"/>
    </row>
    <row r="877">
      <c r="A877" s="368"/>
      <c r="B877" s="368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  <c r="AA877" s="368"/>
    </row>
    <row r="878">
      <c r="A878" s="368"/>
      <c r="B878" s="368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  <c r="AA878" s="368"/>
    </row>
    <row r="879">
      <c r="A879" s="368"/>
      <c r="B879" s="368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  <c r="AA879" s="368"/>
    </row>
    <row r="880">
      <c r="A880" s="368"/>
      <c r="B880" s="368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  <c r="AA880" s="368"/>
    </row>
    <row r="881">
      <c r="A881" s="368"/>
      <c r="B881" s="368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  <c r="AA881" s="368"/>
    </row>
    <row r="882">
      <c r="A882" s="368"/>
      <c r="B882" s="368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  <c r="AA882" s="368"/>
    </row>
    <row r="883">
      <c r="A883" s="368"/>
      <c r="B883" s="368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  <c r="AA883" s="368"/>
    </row>
    <row r="884">
      <c r="A884" s="368"/>
      <c r="B884" s="368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  <c r="AA884" s="368"/>
    </row>
    <row r="885">
      <c r="A885" s="368"/>
      <c r="B885" s="368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  <c r="AA885" s="368"/>
    </row>
    <row r="886">
      <c r="A886" s="368"/>
      <c r="B886" s="368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  <c r="AA886" s="368"/>
    </row>
    <row r="887">
      <c r="A887" s="368"/>
      <c r="B887" s="368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  <c r="AA887" s="368"/>
    </row>
    <row r="888">
      <c r="A888" s="368"/>
      <c r="B888" s="368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  <c r="AA888" s="368"/>
    </row>
    <row r="889">
      <c r="A889" s="368"/>
      <c r="B889" s="368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  <c r="AA889" s="368"/>
    </row>
    <row r="890">
      <c r="A890" s="368"/>
      <c r="B890" s="368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  <c r="AA890" s="368"/>
    </row>
    <row r="891">
      <c r="A891" s="368"/>
      <c r="B891" s="368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  <c r="AA891" s="368"/>
    </row>
    <row r="892">
      <c r="A892" s="368"/>
      <c r="B892" s="368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  <c r="AA892" s="368"/>
    </row>
    <row r="893">
      <c r="A893" s="368"/>
      <c r="B893" s="368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  <c r="AA893" s="368"/>
    </row>
    <row r="894">
      <c r="A894" s="368"/>
      <c r="B894" s="368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  <c r="AA894" s="368"/>
    </row>
    <row r="895">
      <c r="A895" s="368"/>
      <c r="B895" s="368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  <c r="AA895" s="368"/>
    </row>
    <row r="896">
      <c r="A896" s="368"/>
      <c r="B896" s="368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  <c r="AA896" s="368"/>
    </row>
    <row r="897">
      <c r="A897" s="368"/>
      <c r="B897" s="368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  <c r="AA897" s="368"/>
    </row>
    <row r="898">
      <c r="A898" s="368"/>
      <c r="B898" s="368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  <c r="AA898" s="368"/>
    </row>
    <row r="899">
      <c r="A899" s="368"/>
      <c r="B899" s="368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  <c r="AA899" s="368"/>
    </row>
    <row r="900">
      <c r="A900" s="368"/>
      <c r="B900" s="368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  <c r="AA900" s="368"/>
    </row>
    <row r="901">
      <c r="A901" s="368"/>
      <c r="B901" s="368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  <c r="AA901" s="368"/>
    </row>
    <row r="902">
      <c r="A902" s="368"/>
      <c r="B902" s="368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  <c r="AA902" s="368"/>
    </row>
    <row r="903">
      <c r="A903" s="368"/>
      <c r="B903" s="368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  <c r="AA903" s="368"/>
    </row>
    <row r="904">
      <c r="A904" s="368"/>
      <c r="B904" s="368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  <c r="AA904" s="368"/>
    </row>
    <row r="905">
      <c r="A905" s="368"/>
      <c r="B905" s="368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  <c r="AA905" s="368"/>
    </row>
    <row r="906">
      <c r="A906" s="368"/>
      <c r="B906" s="368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  <c r="AA906" s="368"/>
    </row>
    <row r="907">
      <c r="A907" s="368"/>
      <c r="B907" s="368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8"/>
      <c r="AA907" s="368"/>
    </row>
    <row r="908">
      <c r="A908" s="368"/>
      <c r="B908" s="368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8"/>
      <c r="AA908" s="368"/>
    </row>
    <row r="909">
      <c r="A909" s="368"/>
      <c r="B909" s="368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8"/>
      <c r="AA909" s="368"/>
    </row>
    <row r="910">
      <c r="A910" s="368"/>
      <c r="B910" s="368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8"/>
      <c r="AA910" s="368"/>
    </row>
    <row r="911">
      <c r="A911" s="368"/>
      <c r="B911" s="368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8"/>
      <c r="AA911" s="368"/>
    </row>
    <row r="912">
      <c r="A912" s="368"/>
      <c r="B912" s="368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8"/>
      <c r="AA912" s="368"/>
    </row>
    <row r="913">
      <c r="A913" s="368"/>
      <c r="B913" s="368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8"/>
      <c r="AA913" s="368"/>
    </row>
    <row r="914">
      <c r="A914" s="368"/>
      <c r="B914" s="368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8"/>
      <c r="AA914" s="368"/>
    </row>
    <row r="915">
      <c r="A915" s="368"/>
      <c r="B915" s="368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8"/>
      <c r="AA915" s="368"/>
    </row>
    <row r="916">
      <c r="A916" s="368"/>
      <c r="B916" s="368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8"/>
      <c r="AA916" s="368"/>
    </row>
    <row r="917">
      <c r="A917" s="368"/>
      <c r="B917" s="368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8"/>
      <c r="AA917" s="368"/>
    </row>
    <row r="918">
      <c r="A918" s="368"/>
      <c r="B918" s="368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8"/>
      <c r="AA918" s="368"/>
    </row>
    <row r="919">
      <c r="A919" s="368"/>
      <c r="B919" s="368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8"/>
      <c r="AA919" s="368"/>
    </row>
    <row r="920">
      <c r="A920" s="368"/>
      <c r="B920" s="368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8"/>
      <c r="AA920" s="368"/>
    </row>
    <row r="921">
      <c r="A921" s="368"/>
      <c r="B921" s="368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8"/>
      <c r="AA921" s="368"/>
    </row>
    <row r="922">
      <c r="A922" s="368"/>
      <c r="B922" s="368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8"/>
      <c r="AA922" s="368"/>
    </row>
    <row r="923">
      <c r="A923" s="368"/>
      <c r="B923" s="368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8"/>
      <c r="AA923" s="368"/>
    </row>
    <row r="924">
      <c r="A924" s="368"/>
      <c r="B924" s="368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8"/>
      <c r="AA924" s="368"/>
    </row>
    <row r="925">
      <c r="A925" s="368"/>
      <c r="B925" s="368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8"/>
      <c r="AA925" s="368"/>
    </row>
    <row r="926">
      <c r="A926" s="368"/>
      <c r="B926" s="368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8"/>
      <c r="AA926" s="368"/>
    </row>
    <row r="927">
      <c r="A927" s="368"/>
      <c r="B927" s="368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8"/>
      <c r="AA927" s="368"/>
    </row>
    <row r="928">
      <c r="A928" s="368"/>
      <c r="B928" s="368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8"/>
      <c r="AA928" s="368"/>
    </row>
    <row r="929">
      <c r="A929" s="368"/>
      <c r="B929" s="368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8"/>
      <c r="AA929" s="368"/>
    </row>
    <row r="930">
      <c r="A930" s="368"/>
      <c r="B930" s="368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8"/>
      <c r="AA930" s="368"/>
    </row>
    <row r="931">
      <c r="A931" s="368"/>
      <c r="B931" s="368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8"/>
      <c r="AA931" s="368"/>
    </row>
    <row r="932">
      <c r="A932" s="368"/>
      <c r="B932" s="368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8"/>
      <c r="AA932" s="368"/>
    </row>
    <row r="933">
      <c r="A933" s="368"/>
      <c r="B933" s="368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8"/>
      <c r="AA933" s="368"/>
    </row>
    <row r="934">
      <c r="A934" s="368"/>
      <c r="B934" s="368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8"/>
      <c r="AA934" s="368"/>
    </row>
    <row r="935">
      <c r="A935" s="368"/>
      <c r="B935" s="368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8"/>
      <c r="AA935" s="368"/>
    </row>
    <row r="936">
      <c r="A936" s="368"/>
      <c r="B936" s="368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8"/>
      <c r="AA936" s="368"/>
    </row>
    <row r="937">
      <c r="A937" s="368"/>
      <c r="B937" s="368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8"/>
      <c r="AA937" s="368"/>
    </row>
    <row r="938">
      <c r="A938" s="368"/>
      <c r="B938" s="368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8"/>
      <c r="AA938" s="368"/>
    </row>
    <row r="939">
      <c r="A939" s="368"/>
      <c r="B939" s="368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8"/>
      <c r="AA939" s="368"/>
    </row>
    <row r="940">
      <c r="A940" s="368"/>
      <c r="B940" s="368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8"/>
      <c r="AA940" s="368"/>
    </row>
    <row r="941">
      <c r="A941" s="368"/>
      <c r="B941" s="368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8"/>
      <c r="AA941" s="368"/>
    </row>
    <row r="942">
      <c r="A942" s="368"/>
      <c r="B942" s="368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8"/>
      <c r="AA942" s="368"/>
    </row>
    <row r="943">
      <c r="A943" s="368"/>
      <c r="B943" s="368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8"/>
      <c r="AA943" s="368"/>
    </row>
    <row r="944">
      <c r="A944" s="368"/>
      <c r="B944" s="368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8"/>
      <c r="AA944" s="368"/>
    </row>
    <row r="945">
      <c r="A945" s="368"/>
      <c r="B945" s="368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8"/>
      <c r="AA945" s="368"/>
    </row>
    <row r="946">
      <c r="A946" s="368"/>
      <c r="B946" s="368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8"/>
      <c r="AA946" s="368"/>
    </row>
    <row r="947">
      <c r="A947" s="368"/>
      <c r="B947" s="368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8"/>
      <c r="AA947" s="368"/>
    </row>
    <row r="948">
      <c r="A948" s="368"/>
      <c r="B948" s="368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8"/>
      <c r="AA948" s="368"/>
    </row>
    <row r="949">
      <c r="A949" s="368"/>
      <c r="B949" s="368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8"/>
      <c r="AA949" s="368"/>
    </row>
    <row r="950">
      <c r="A950" s="368"/>
      <c r="B950" s="368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8"/>
      <c r="AA950" s="368"/>
    </row>
    <row r="951">
      <c r="A951" s="368"/>
      <c r="B951" s="368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8"/>
      <c r="AA951" s="368"/>
    </row>
    <row r="952">
      <c r="A952" s="368"/>
      <c r="B952" s="368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8"/>
      <c r="AA952" s="368"/>
    </row>
    <row r="953">
      <c r="A953" s="368"/>
      <c r="B953" s="368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8"/>
      <c r="AA953" s="368"/>
    </row>
    <row r="954">
      <c r="A954" s="368"/>
      <c r="B954" s="368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8"/>
      <c r="AA954" s="368"/>
    </row>
    <row r="955">
      <c r="A955" s="368"/>
      <c r="B955" s="368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8"/>
      <c r="AA955" s="368"/>
    </row>
    <row r="956">
      <c r="A956" s="368"/>
      <c r="B956" s="368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8"/>
      <c r="AA956" s="368"/>
    </row>
    <row r="957">
      <c r="A957" s="368"/>
      <c r="B957" s="368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8"/>
      <c r="AA957" s="368"/>
    </row>
    <row r="958">
      <c r="A958" s="368"/>
      <c r="B958" s="368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8"/>
      <c r="AA958" s="368"/>
    </row>
    <row r="959">
      <c r="A959" s="368"/>
      <c r="B959" s="368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8"/>
      <c r="AA959" s="368"/>
    </row>
    <row r="960">
      <c r="A960" s="368"/>
      <c r="B960" s="368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8"/>
      <c r="AA960" s="368"/>
    </row>
    <row r="961">
      <c r="A961" s="368"/>
      <c r="B961" s="368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8"/>
      <c r="AA961" s="368"/>
    </row>
    <row r="962">
      <c r="A962" s="368"/>
      <c r="B962" s="368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8"/>
      <c r="AA962" s="368"/>
    </row>
    <row r="963">
      <c r="A963" s="368"/>
      <c r="B963" s="368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8"/>
      <c r="AA963" s="368"/>
    </row>
    <row r="964">
      <c r="A964" s="368"/>
      <c r="B964" s="368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8"/>
      <c r="AA964" s="368"/>
    </row>
    <row r="965">
      <c r="A965" s="368"/>
      <c r="B965" s="368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8"/>
      <c r="AA965" s="368"/>
    </row>
    <row r="966">
      <c r="A966" s="368"/>
      <c r="B966" s="368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8"/>
      <c r="AA966" s="368"/>
    </row>
    <row r="967">
      <c r="A967" s="368"/>
      <c r="B967" s="368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8"/>
      <c r="AA967" s="368"/>
    </row>
    <row r="968">
      <c r="A968" s="368"/>
      <c r="B968" s="368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8"/>
      <c r="AA968" s="368"/>
    </row>
    <row r="969">
      <c r="A969" s="368"/>
      <c r="B969" s="368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8"/>
      <c r="AA969" s="368"/>
    </row>
    <row r="970">
      <c r="A970" s="368"/>
      <c r="B970" s="368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8"/>
      <c r="AA970" s="368"/>
    </row>
    <row r="971">
      <c r="A971" s="368"/>
      <c r="B971" s="368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8"/>
      <c r="AA971" s="368"/>
    </row>
    <row r="972">
      <c r="A972" s="368"/>
      <c r="B972" s="368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8"/>
      <c r="AA972" s="368"/>
    </row>
    <row r="973">
      <c r="A973" s="368"/>
      <c r="B973" s="368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8"/>
      <c r="AA973" s="368"/>
    </row>
    <row r="974">
      <c r="A974" s="368"/>
      <c r="B974" s="368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8"/>
      <c r="AA974" s="368"/>
    </row>
    <row r="975">
      <c r="A975" s="368"/>
      <c r="B975" s="368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8"/>
      <c r="AA975" s="368"/>
    </row>
    <row r="976">
      <c r="A976" s="368"/>
      <c r="B976" s="368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8"/>
      <c r="AA976" s="368"/>
    </row>
    <row r="977">
      <c r="A977" s="368"/>
      <c r="B977" s="368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8"/>
      <c r="AA977" s="368"/>
    </row>
    <row r="978">
      <c r="A978" s="368"/>
      <c r="B978" s="368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8"/>
      <c r="AA978" s="368"/>
    </row>
    <row r="979">
      <c r="A979" s="368"/>
      <c r="B979" s="368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8"/>
      <c r="AA979" s="368"/>
    </row>
    <row r="980">
      <c r="A980" s="368"/>
      <c r="B980" s="368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8"/>
      <c r="AA980" s="368"/>
    </row>
    <row r="981">
      <c r="A981" s="368"/>
      <c r="B981" s="368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8"/>
      <c r="AA981" s="368"/>
    </row>
    <row r="982">
      <c r="A982" s="368"/>
      <c r="B982" s="368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8"/>
      <c r="AA982" s="368"/>
    </row>
    <row r="983">
      <c r="A983" s="368"/>
      <c r="B983" s="368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8"/>
      <c r="AA983" s="368"/>
    </row>
    <row r="984">
      <c r="A984" s="368"/>
      <c r="B984" s="368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8"/>
      <c r="AA984" s="368"/>
    </row>
    <row r="985">
      <c r="A985" s="368"/>
      <c r="B985" s="368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8"/>
      <c r="AA985" s="368"/>
    </row>
    <row r="986">
      <c r="A986" s="368"/>
      <c r="B986" s="368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8"/>
      <c r="AA986" s="368"/>
    </row>
    <row r="987">
      <c r="A987" s="368"/>
      <c r="B987" s="368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8"/>
      <c r="AA987" s="368"/>
    </row>
    <row r="988">
      <c r="A988" s="368"/>
      <c r="B988" s="368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8"/>
      <c r="AA988" s="368"/>
    </row>
    <row r="989">
      <c r="A989" s="368"/>
      <c r="B989" s="368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8"/>
      <c r="AA989" s="368"/>
    </row>
    <row r="990">
      <c r="A990" s="368"/>
      <c r="B990" s="368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8"/>
      <c r="AA990" s="368"/>
    </row>
    <row r="991">
      <c r="A991" s="368"/>
      <c r="B991" s="368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8"/>
      <c r="AA991" s="368"/>
    </row>
    <row r="992">
      <c r="A992" s="368"/>
      <c r="B992" s="368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8"/>
      <c r="AA992" s="368"/>
    </row>
    <row r="993">
      <c r="A993" s="368"/>
      <c r="B993" s="368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8"/>
      <c r="AA993" s="368"/>
    </row>
    <row r="994">
      <c r="A994" s="368"/>
      <c r="B994" s="368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8"/>
      <c r="AA994" s="368"/>
    </row>
    <row r="995">
      <c r="A995" s="368"/>
      <c r="B995" s="368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8"/>
      <c r="AA995" s="368"/>
    </row>
    <row r="996">
      <c r="A996" s="368"/>
      <c r="B996" s="368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8"/>
      <c r="AA996" s="368"/>
    </row>
    <row r="997">
      <c r="A997" s="368"/>
      <c r="B997" s="368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8"/>
      <c r="AA997" s="368"/>
    </row>
    <row r="998">
      <c r="A998" s="368"/>
      <c r="B998" s="368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8"/>
      <c r="AA998" s="368"/>
    </row>
    <row r="999">
      <c r="A999" s="368"/>
      <c r="B999" s="368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8"/>
      <c r="AA999" s="368"/>
    </row>
    <row r="1000">
      <c r="A1000" s="368"/>
      <c r="B1000" s="368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8"/>
      <c r="AA1000" s="368"/>
    </row>
  </sheetData>
  <drawing r:id="rId1"/>
</worksheet>
</file>